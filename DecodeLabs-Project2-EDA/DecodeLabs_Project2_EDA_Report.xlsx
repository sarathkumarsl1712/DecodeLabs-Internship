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COT\Desktop\DecodeLabs-Internship\Project2_EDA\"/>
    </mc:Choice>
  </mc:AlternateContent>
  <xr:revisionPtr revIDLastSave="0" documentId="8_{56E28671-6D84-49CD-A18E-4432498631F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leaned_Dataset" sheetId="1" r:id="rId1"/>
    <sheet name="Summary Statistics" sheetId="7" r:id="rId2"/>
    <sheet name="Manual Analysis" sheetId="10" r:id="rId3"/>
    <sheet name="EDA Observations" sheetId="9" r:id="rId4"/>
    <sheet name="Change Log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0" l="1"/>
  <c r="J5" i="10"/>
  <c r="J7" i="10"/>
  <c r="J4" i="10"/>
  <c r="F18" i="10"/>
  <c r="F17" i="10"/>
  <c r="F16" i="10"/>
  <c r="B18" i="10"/>
  <c r="B17" i="10"/>
  <c r="B16" i="10"/>
  <c r="B15" i="10"/>
  <c r="B4" i="10"/>
  <c r="F8" i="10"/>
  <c r="F7" i="10"/>
  <c r="F6" i="10"/>
  <c r="F5" i="10"/>
  <c r="F4" i="10"/>
  <c r="B10" i="10"/>
  <c r="B9" i="10"/>
  <c r="B8" i="10"/>
  <c r="B7" i="10"/>
  <c r="B6" i="10"/>
  <c r="B5" i="10"/>
  <c r="B7" i="7"/>
  <c r="B6" i="7"/>
  <c r="B5" i="7"/>
  <c r="B4" i="7"/>
  <c r="B3" i="7"/>
  <c r="B2" i="7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" i="1"/>
</calcChain>
</file>

<file path=xl/sharedStrings.xml><?xml version="1.0" encoding="utf-8"?>
<sst xmlns="http://schemas.openxmlformats.org/spreadsheetml/2006/main" count="10881" uniqueCount="4315">
  <si>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</si>
  <si>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</si>
  <si>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</si>
  <si>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</si>
  <si>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</si>
  <si>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</si>
  <si>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</si>
  <si>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</si>
  <si>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</si>
  <si>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</si>
  <si>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</si>
  <si>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</si>
  <si>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</si>
  <si>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</si>
  <si>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</si>
  <si>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</si>
  <si>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</si>
  <si>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</si>
  <si>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</si>
  <si>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</si>
  <si>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</si>
  <si>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</si>
  <si>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</si>
  <si>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</si>
  <si>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</si>
  <si>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</si>
  <si>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</si>
  <si>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</si>
  <si>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</si>
  <si>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</si>
  <si>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</si>
  <si>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</si>
  <si>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</si>
  <si>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</si>
  <si>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</si>
  <si>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</si>
  <si>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</si>
  <si>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</si>
  <si>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</si>
  <si>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</si>
  <si>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</si>
  <si>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</si>
  <si>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</si>
  <si>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</si>
  <si>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</si>
  <si>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</si>
  <si>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</si>
  <si>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</si>
  <si>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</si>
  <si>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</si>
  <si>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</si>
  <si>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</si>
  <si>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</si>
  <si>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</si>
  <si>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</si>
  <si>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</si>
  <si>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</si>
  <si>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</si>
  <si>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</si>
  <si>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</si>
  <si>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</si>
  <si>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</si>
  <si>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</si>
  <si>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</si>
  <si>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</si>
  <si>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</si>
  <si>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</si>
  <si>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</si>
  <si>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</si>
  <si>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</si>
  <si>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</si>
  <si>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</si>
  <si>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</si>
  <si>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</si>
  <si>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</si>
  <si>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</si>
  <si>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</si>
  <si>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</si>
  <si>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</si>
  <si>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</si>
  <si>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</si>
  <si>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</si>
  <si>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</si>
  <si>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</si>
  <si>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</si>
  <si>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</si>
  <si>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</si>
  <si>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</si>
  <si>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</si>
  <si>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</si>
  <si>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</si>
  <si>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</si>
  <si>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</si>
  <si>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</si>
  <si>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</si>
  <si>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</si>
  <si>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</si>
  <si>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</si>
  <si>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</si>
  <si>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</si>
  <si>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</si>
  <si>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</si>
  <si>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</si>
  <si>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</si>
  <si>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</si>
  <si>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</si>
  <si>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</si>
  <si>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</si>
  <si>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</si>
  <si>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</si>
  <si>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</si>
  <si>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</si>
  <si>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</si>
  <si>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</si>
  <si>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</si>
  <si>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</si>
  <si>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</si>
  <si>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</si>
  <si>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</si>
  <si>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</si>
  <si>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</si>
  <si>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</si>
  <si>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</si>
  <si>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</si>
  <si>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</si>
  <si>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</si>
  <si>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</si>
  <si>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</si>
  <si>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</si>
  <si>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</si>
  <si>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</si>
  <si>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</si>
  <si>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</si>
  <si>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</si>
  <si>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</si>
  <si>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</si>
  <si>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</si>
  <si>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</si>
  <si>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</si>
  <si>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</si>
  <si>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</si>
  <si>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</si>
  <si>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</si>
  <si>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</si>
  <si>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</si>
  <si>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</si>
  <si>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</si>
  <si>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</si>
  <si>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</si>
  <si>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</si>
  <si>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</si>
  <si>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</si>
  <si>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</si>
  <si>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</si>
  <si>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</si>
  <si>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</si>
  <si>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</si>
  <si>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</si>
  <si>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</si>
  <si>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</si>
  <si>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</si>
  <si>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</si>
  <si>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</si>
  <si>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</si>
  <si>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</si>
  <si>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</si>
  <si>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</si>
  <si>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</si>
  <si>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</si>
  <si>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</si>
  <si>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</si>
  <si>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</si>
  <si>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</si>
  <si>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</si>
  <si>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</si>
  <si>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</si>
  <si>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</si>
  <si>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</si>
  <si>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</si>
  <si>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</si>
  <si>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</si>
  <si>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</si>
  <si>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</si>
  <si>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</si>
  <si>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</si>
  <si>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</si>
  <si>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</si>
  <si>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</si>
  <si>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</si>
  <si>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</si>
  <si>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</si>
  <si>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</si>
  <si>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</si>
  <si>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</si>
  <si>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</si>
  <si>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</si>
  <si>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</si>
  <si>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</si>
  <si>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</si>
  <si>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</si>
  <si>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</si>
  <si>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</si>
  <si>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</si>
  <si>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</si>
  <si>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</si>
  <si>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</si>
  <si>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</si>
  <si>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</si>
  <si>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</si>
  <si>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</si>
  <si>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</si>
  <si>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</si>
  <si>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</si>
  <si>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</si>
  <si>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</si>
  <si>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</si>
  <si>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</si>
  <si>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</si>
  <si>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</si>
  <si>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</si>
  <si>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</si>
  <si>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</si>
  <si>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</si>
  <si>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</si>
  <si>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</si>
  <si>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</si>
  <si>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</si>
  <si>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</si>
  <si>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</si>
  <si>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</si>
  <si>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</si>
  <si>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</si>
  <si>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</si>
  <si>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</si>
  <si>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</si>
  <si>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</si>
  <si>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</si>
  <si>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</si>
  <si>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</si>
  <si>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</si>
  <si>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</si>
  <si>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</si>
  <si>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</si>
  <si>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</si>
  <si>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</si>
  <si>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</si>
  <si>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</si>
  <si>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</si>
  <si>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</si>
  <si>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</si>
  <si>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</si>
  <si>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</si>
  <si>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</si>
  <si>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</si>
  <si>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</si>
  <si>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</si>
  <si>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</si>
  <si>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</si>
  <si>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</si>
  <si>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</si>
  <si>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</si>
  <si>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</si>
  <si>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</si>
  <si>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</si>
  <si>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</si>
  <si>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</si>
  <si>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</si>
  <si>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</si>
  <si>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</si>
  <si>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</si>
  <si>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</si>
  <si>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</si>
  <si>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</si>
  <si>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</si>
  <si>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</si>
  <si>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</si>
  <si>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</si>
  <si>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</si>
  <si>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</si>
  <si>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</si>
  <si>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</si>
  <si>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</si>
  <si>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</si>
  <si>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</si>
  <si>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</si>
  <si>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</si>
  <si>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</si>
  <si>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</si>
  <si>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</si>
  <si>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</si>
  <si>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</si>
  <si>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</si>
  <si>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</si>
  <si>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</si>
  <si>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</si>
  <si>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</si>
  <si>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</si>
  <si>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</si>
  <si>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</si>
  <si>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</si>
  <si>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</si>
  <si>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</si>
  <si>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</si>
  <si>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</si>
  <si>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</si>
  <si>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</si>
  <si>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</si>
  <si>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</si>
  <si>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</si>
  <si>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</si>
  <si>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</si>
  <si>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</si>
  <si>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</si>
  <si>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</si>
  <si>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</si>
  <si>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</si>
  <si>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</si>
  <si>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</si>
  <si>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</si>
  <si>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</si>
  <si>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</si>
  <si>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</si>
  <si>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</si>
  <si>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</si>
  <si>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</si>
  <si>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</si>
  <si>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</si>
  <si>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</si>
  <si>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</si>
  <si>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</si>
  <si>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</si>
  <si>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</si>
  <si>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</si>
  <si>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</si>
  <si>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</si>
  <si>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</si>
  <si>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</si>
  <si>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</si>
  <si>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</si>
  <si>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</si>
  <si>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</si>
  <si>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</si>
  <si>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</si>
  <si>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</si>
  <si>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</si>
  <si>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</si>
  <si>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</si>
  <si>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</si>
  <si>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</si>
  <si>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</si>
  <si>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</si>
  <si>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</si>
  <si>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</si>
  <si>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</si>
  <si>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</si>
  <si>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</si>
  <si>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</si>
  <si>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</si>
  <si>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</si>
  <si>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</si>
  <si>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</si>
  <si>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</si>
  <si>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</si>
  <si>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</si>
  <si>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</si>
  <si>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</si>
  <si>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</si>
  <si>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</si>
  <si>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</si>
  <si>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</si>
  <si>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</si>
  <si>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</si>
  <si>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</si>
  <si>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</si>
  <si>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</si>
  <si>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</si>
  <si>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</si>
  <si>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</si>
  <si>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</si>
  <si>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</si>
  <si>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</si>
  <si>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</si>
  <si>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</si>
  <si>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</si>
  <si>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</si>
  <si>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</si>
  <si>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</si>
  <si>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</si>
  <si>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</si>
  <si>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</si>
  <si>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</si>
  <si>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</si>
  <si>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</si>
  <si>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</si>
  <si>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</si>
  <si>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</si>
  <si>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</si>
  <si>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</si>
  <si>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</si>
  <si>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</si>
  <si>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</si>
  <si>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</si>
  <si>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</si>
  <si>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</si>
  <si>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</si>
  <si>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</si>
  <si>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</si>
  <si>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</si>
  <si>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</si>
  <si>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</si>
  <si>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</si>
  <si>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</si>
  <si>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</si>
  <si>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</si>
  <si>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</si>
  <si>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</si>
  <si>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</si>
  <si>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</si>
  <si>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</si>
  <si>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</si>
  <si>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</si>
  <si>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</si>
  <si>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</si>
  <si>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</si>
  <si>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</si>
  <si>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</si>
  <si>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</si>
  <si>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</si>
  <si>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</si>
  <si>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</si>
  <si>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</si>
  <si>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</si>
  <si>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</si>
  <si>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</si>
  <si>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</si>
  <si>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</si>
  <si>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</si>
  <si>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</si>
  <si>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</si>
  <si>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</si>
  <si>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</si>
  <si>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</si>
  <si>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</si>
  <si>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</si>
  <si>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</si>
  <si>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</si>
  <si>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</si>
  <si>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</si>
  <si>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</si>
  <si>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</si>
  <si>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</si>
  <si>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</si>
  <si>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</si>
  <si>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</si>
  <si>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</si>
  <si>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</si>
  <si>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</si>
  <si>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</si>
  <si>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</si>
  <si>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</si>
  <si>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</si>
  <si>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</si>
  <si>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</si>
  <si>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</si>
  <si>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</si>
  <si>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</si>
  <si>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</si>
  <si>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</si>
  <si>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</si>
  <si>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</si>
  <si>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</si>
  <si>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</si>
  <si>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</si>
  <si>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</si>
  <si>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</si>
  <si>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</si>
  <si>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</si>
  <si>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</si>
  <si>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</si>
  <si>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</si>
  <si>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</si>
  <si>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</si>
  <si>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</si>
  <si>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</si>
  <si>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</si>
  <si>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</si>
  <si>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</si>
  <si>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</si>
  <si>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</si>
  <si>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</si>
  <si>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</si>
  <si>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</si>
  <si>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</si>
  <si>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</si>
  <si>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</si>
  <si>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</si>
  <si>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</si>
  <si>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</si>
  <si>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</si>
  <si>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</si>
  <si>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</si>
  <si>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</si>
  <si>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</si>
  <si>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</si>
  <si>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</si>
  <si>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</si>
  <si>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</si>
  <si>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</si>
  <si>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</si>
  <si>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</si>
  <si>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</si>
  <si>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</si>
  <si>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</si>
  <si>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</si>
  <si>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</si>
  <si>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</si>
  <si>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</si>
  <si>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</si>
  <si>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</si>
  <si>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</si>
  <si>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</si>
  <si>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</si>
  <si>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</si>
  <si>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</si>
  <si>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</si>
  <si>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</si>
  <si>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</si>
  <si>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</si>
  <si>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</si>
  <si>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</si>
  <si>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</si>
  <si>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</si>
  <si>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</si>
  <si>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</si>
  <si>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</si>
  <si>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</si>
  <si>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</si>
  <si>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</si>
  <si>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</si>
  <si>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</si>
  <si>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</si>
  <si>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</si>
  <si>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</si>
  <si>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</si>
  <si>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</si>
  <si>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</si>
  <si>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</si>
  <si>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</si>
  <si>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</si>
  <si>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</si>
  <si>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</si>
  <si>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</si>
  <si>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</si>
  <si>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</si>
  <si>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</si>
  <si>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</si>
  <si>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</si>
  <si>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</si>
  <si>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</si>
  <si>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</si>
  <si>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</si>
  <si>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</si>
  <si>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</si>
  <si>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</si>
  <si>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</si>
  <si>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</si>
  <si>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</si>
  <si>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</si>
  <si>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</si>
  <si>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</si>
  <si>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</si>
  <si>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</si>
  <si>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</si>
  <si>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</si>
  <si>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</si>
  <si>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</si>
  <si>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</si>
  <si>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</si>
  <si>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</si>
  <si>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</si>
  <si>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</si>
  <si>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</si>
  <si>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</si>
  <si>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</si>
  <si>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</si>
  <si>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</si>
  <si>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</si>
  <si>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</si>
  <si>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</si>
  <si>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</si>
  <si>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</si>
  <si>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</si>
  <si>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</si>
  <si>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</si>
  <si>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</si>
  <si>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</si>
  <si>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</si>
  <si>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</si>
  <si>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</si>
  <si>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</si>
  <si>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</si>
  <si>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</si>
  <si>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</si>
  <si>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</si>
  <si>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</si>
  <si>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</si>
  <si>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</si>
  <si>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</si>
  <si>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</si>
  <si>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</si>
  <si>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</si>
  <si>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</si>
  <si>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</si>
  <si>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</si>
  <si>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</si>
  <si>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</si>
  <si>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</si>
  <si>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</si>
  <si>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</si>
  <si>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</si>
  <si>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</si>
  <si>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</si>
  <si>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</si>
  <si>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</si>
  <si>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</si>
  <si>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</si>
  <si>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</si>
  <si>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</si>
  <si>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</si>
  <si>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</si>
  <si>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</si>
  <si>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</si>
  <si>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</si>
  <si>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</si>
  <si>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</si>
  <si>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</si>
  <si>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</si>
  <si>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</si>
  <si>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</si>
  <si>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</si>
  <si>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</si>
  <si>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</si>
  <si>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</si>
  <si>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</si>
  <si>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</si>
  <si>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</si>
  <si>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</si>
  <si>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</si>
  <si>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</si>
  <si>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</si>
  <si>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</si>
  <si>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</si>
  <si>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</si>
  <si>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</si>
  <si>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</si>
  <si>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</si>
  <si>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</si>
  <si>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</si>
  <si>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</si>
  <si>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</si>
  <si>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</si>
  <si>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</si>
  <si>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</si>
  <si>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</si>
  <si>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</si>
  <si>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</si>
  <si>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</si>
  <si>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</si>
  <si>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</si>
  <si>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</si>
  <si>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</si>
  <si>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</si>
  <si>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</si>
  <si>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</si>
  <si>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</si>
  <si>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</si>
  <si>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</si>
  <si>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</si>
  <si>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</si>
  <si>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</si>
  <si>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</si>
  <si>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</si>
  <si>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</si>
  <si>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</si>
  <si>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</si>
  <si>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</si>
  <si>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</si>
  <si>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</si>
  <si>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</si>
  <si>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</si>
  <si>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</si>
  <si>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</si>
  <si>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</si>
  <si>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</si>
  <si>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</si>
  <si>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</si>
  <si>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</si>
  <si>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</si>
  <si>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</si>
  <si>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</si>
  <si>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</si>
  <si>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</si>
  <si>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</si>
  <si>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</si>
  <si>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</si>
  <si>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</si>
  <si>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</si>
  <si>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</si>
  <si>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</si>
  <si>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</si>
  <si>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</si>
  <si>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</si>
  <si>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</si>
  <si>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</si>
  <si>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</si>
  <si>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</si>
  <si>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</si>
  <si>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</si>
  <si>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</si>
  <si>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</si>
  <si>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</si>
  <si>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</si>
  <si>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</si>
  <si>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</si>
  <si>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</si>
  <si>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</si>
  <si>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</si>
  <si>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</si>
  <si>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</si>
  <si>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</si>
  <si>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</si>
  <si>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</si>
  <si>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</si>
  <si>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</si>
  <si>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</si>
  <si>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</si>
  <si>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</si>
  <si>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</si>
  <si>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</si>
  <si>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</si>
  <si>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</si>
  <si>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</si>
  <si>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</si>
  <si>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</si>
  <si>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</si>
  <si>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</si>
  <si>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</si>
  <si>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</si>
  <si>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</si>
  <si>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</si>
  <si>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</si>
  <si>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</si>
  <si>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</si>
  <si>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</si>
  <si>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</si>
  <si>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</si>
  <si>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</si>
  <si>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</si>
  <si>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</si>
  <si>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</si>
  <si>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</si>
  <si>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</si>
  <si>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</si>
  <si>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</si>
  <si>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</si>
  <si>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</si>
  <si>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</si>
  <si>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</si>
  <si>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</si>
  <si>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</si>
  <si>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</si>
  <si>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</si>
  <si>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</si>
  <si>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</si>
  <si>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</si>
  <si>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</si>
  <si>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</si>
  <si>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</si>
  <si>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</si>
  <si>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</si>
  <si>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</si>
  <si>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</si>
  <si>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</si>
  <si>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</si>
  <si>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</si>
  <si>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</si>
  <si>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</si>
  <si>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</si>
  <si>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</si>
  <si>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</si>
  <si>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</si>
  <si>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</si>
  <si>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</si>
  <si>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</si>
  <si>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</si>
  <si>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</si>
  <si>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</si>
  <si>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</si>
  <si>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</si>
  <si>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</si>
  <si>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</si>
  <si>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</si>
  <si>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</si>
  <si>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</si>
  <si>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</si>
  <si>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</si>
  <si>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</si>
  <si>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</si>
  <si>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</si>
  <si>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</si>
  <si>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</si>
  <si>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</si>
  <si>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</si>
  <si>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</si>
  <si>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</si>
  <si>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</si>
  <si>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</si>
  <si>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</si>
  <si>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</si>
  <si>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</si>
  <si>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</si>
  <si>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</si>
  <si>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</si>
  <si>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</si>
  <si>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</si>
  <si>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</si>
  <si>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</si>
  <si>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</si>
  <si>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</si>
  <si>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</si>
  <si>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</si>
  <si>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</si>
  <si>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</si>
  <si>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</si>
  <si>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</si>
  <si>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</si>
  <si>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</si>
  <si>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</si>
  <si>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</si>
  <si>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</si>
  <si>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</si>
  <si>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</si>
  <si>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</si>
  <si>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</si>
  <si>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</si>
  <si>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</si>
  <si>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</si>
  <si>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</si>
  <si>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</si>
  <si>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</si>
  <si>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</si>
  <si>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</si>
  <si>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</si>
  <si>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</si>
  <si>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</si>
  <si>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</si>
  <si>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</si>
  <si>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</si>
  <si>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</si>
  <si>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</si>
  <si>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</si>
  <si>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</si>
  <si>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</si>
  <si>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</si>
  <si>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</si>
  <si>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</si>
  <si>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</si>
  <si>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</si>
  <si>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</si>
  <si>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</si>
  <si>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</si>
  <si>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</si>
  <si>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</si>
  <si>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</si>
  <si>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</si>
  <si>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</si>
  <si>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</si>
  <si>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</si>
  <si>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</si>
  <si>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</si>
  <si>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</si>
  <si>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</si>
  <si>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</si>
  <si>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</si>
  <si>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</si>
  <si>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</si>
  <si>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</si>
  <si>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</si>
  <si>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</si>
  <si>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</si>
  <si>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</si>
  <si>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</si>
  <si>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</si>
  <si>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</si>
  <si>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</si>
  <si>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</si>
  <si>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</si>
  <si>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</si>
  <si>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</si>
  <si>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</si>
  <si>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</si>
  <si>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</si>
  <si>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</si>
  <si>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</si>
  <si>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</si>
  <si>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</si>
  <si>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</si>
  <si>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</si>
  <si>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</si>
  <si>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</si>
  <si>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</si>
  <si>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</si>
  <si>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</si>
  <si>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</si>
  <si>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</si>
  <si>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</si>
  <si>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</si>
  <si>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</si>
  <si>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</si>
  <si>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</si>
  <si>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</si>
  <si>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</si>
  <si>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</si>
  <si>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</si>
  <si>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</si>
  <si>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</si>
  <si>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</si>
  <si>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</si>
  <si>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</si>
  <si>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</si>
  <si>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</si>
  <si>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</si>
  <si>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</si>
  <si>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</si>
  <si>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</si>
  <si>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</si>
  <si>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</si>
  <si>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</si>
  <si>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</si>
  <si>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</si>
  <si>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</si>
  <si>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</si>
  <si>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</si>
  <si>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</si>
  <si>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</si>
  <si>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</si>
  <si>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</si>
  <si>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</si>
  <si>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</si>
  <si>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</si>
  <si>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</si>
  <si>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</si>
  <si>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</si>
  <si>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</si>
  <si>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</si>
  <si>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</si>
  <si>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</si>
  <si>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</si>
  <si>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</si>
  <si>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</si>
  <si>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</si>
  <si>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</si>
  <si>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</si>
  <si>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</si>
  <si>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</si>
  <si>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</si>
  <si>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</si>
  <si>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</si>
  <si>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</si>
  <si>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</si>
  <si>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</si>
  <si>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</si>
  <si>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</si>
  <si>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</si>
  <si>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</si>
  <si>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</si>
  <si>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</si>
  <si>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</si>
  <si>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</si>
  <si>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</si>
  <si>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</si>
  <si>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</si>
  <si>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</si>
  <si>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</si>
  <si>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</si>
  <si>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</si>
  <si>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</si>
  <si>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</si>
  <si>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</si>
  <si>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</si>
  <si>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</si>
  <si>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</si>
  <si>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</si>
  <si>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</si>
  <si>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</si>
  <si>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</si>
  <si>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</si>
  <si>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</si>
  <si>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</si>
  <si>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</si>
  <si>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</si>
  <si>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</si>
  <si>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</si>
  <si>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</si>
  <si>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</si>
  <si>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</si>
  <si>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</si>
  <si>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</si>
  <si>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</si>
  <si>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</si>
  <si>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</si>
  <si>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</si>
  <si>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</si>
  <si>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</si>
  <si>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</si>
  <si>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</si>
  <si>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</si>
  <si>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</si>
  <si>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</si>
  <si>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</si>
  <si>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</si>
  <si>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</si>
  <si>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</si>
  <si>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</si>
  <si>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</si>
  <si>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</si>
  <si>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</si>
  <si>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</si>
  <si>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</si>
  <si>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</si>
  <si>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</si>
  <si>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</si>
  <si>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</si>
  <si>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</si>
  <si>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</si>
  <si>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</si>
  <si>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</si>
  <si>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</si>
  <si>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</si>
  <si>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</si>
  <si>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</si>
  <si>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</si>
  <si>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</si>
  <si>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</si>
  <si>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</si>
  <si>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</si>
  <si>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</si>
  <si>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</si>
  <si>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</si>
  <si>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</si>
  <si>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</si>
  <si>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</si>
  <si>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</si>
  <si>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</si>
  <si>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</si>
  <si>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</si>
  <si>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</si>
  <si>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</si>
  <si>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</si>
  <si>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</si>
  <si>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</si>
  <si>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</si>
  <si>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</si>
  <si>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</si>
  <si>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</si>
  <si>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</si>
  <si>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</si>
  <si>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</si>
  <si>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</si>
  <si>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</si>
  <si>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</si>
  <si>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</si>
  <si>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</si>
  <si>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</si>
  <si>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</si>
  <si>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</si>
  <si>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</si>
  <si>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</si>
  <si>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</si>
  <si>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</si>
  <si>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</si>
  <si>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</si>
  <si>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</si>
  <si>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</si>
  <si>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</si>
  <si>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</si>
  <si>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</si>
  <si>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</si>
  <si>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</si>
  <si>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</si>
  <si>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</si>
  <si>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</si>
  <si>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</si>
  <si>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</si>
  <si>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</si>
  <si>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</si>
  <si>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</si>
  <si>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</si>
  <si>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</si>
  <si>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</si>
  <si>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</si>
  <si>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</si>
  <si>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</si>
  <si>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</si>
  <si>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</si>
  <si>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</si>
  <si>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</si>
  <si>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</si>
  <si>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</si>
  <si>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</si>
  <si>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</si>
  <si>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</si>
  <si>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</si>
  <si>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</si>
  <si>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</si>
  <si>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</si>
  <si>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</si>
  <si>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</si>
  <si>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</si>
  <si>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</si>
  <si>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</si>
  <si>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</si>
  <si>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</si>
  <si>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</si>
  <si>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</si>
  <si>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</si>
  <si>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</si>
  <si>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</si>
  <si>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</si>
  <si>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</si>
  <si>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</si>
  <si>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</si>
  <si>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</si>
  <si>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</si>
  <si>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</si>
  <si>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</si>
  <si>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</si>
  <si>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</si>
  <si>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</si>
  <si>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</si>
  <si>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</si>
  <si>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</si>
  <si>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</si>
  <si>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</si>
  <si>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</si>
  <si>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</si>
  <si>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</si>
  <si>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</si>
  <si>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</si>
  <si>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</si>
  <si>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</si>
  <si>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</si>
  <si>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</si>
  <si>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</si>
  <si>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</si>
  <si>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</si>
  <si>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</si>
  <si>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</si>
  <si>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</si>
  <si>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</si>
  <si>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</si>
  <si>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</si>
  <si>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</si>
  <si>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</si>
  <si>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</si>
  <si>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</si>
  <si>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</si>
  <si>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</si>
  <si>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</si>
  <si>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</si>
  <si>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</si>
  <si>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</si>
  <si>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</si>
  <si>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</si>
  <si>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</si>
  <si>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</si>
  <si>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</si>
  <si>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</si>
  <si>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</si>
  <si>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</si>
  <si>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</si>
  <si>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</si>
  <si>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</si>
  <si>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</si>
  <si>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</si>
  <si>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</si>
  <si>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</si>
  <si>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</si>
  <si>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</si>
  <si>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</si>
  <si>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</si>
  <si>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</si>
  <si>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</si>
  <si>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</si>
  <si>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</si>
  <si>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</si>
  <si>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</si>
  <si>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</si>
  <si>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</si>
  <si>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</si>
  <si>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</si>
  <si>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</si>
  <si>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</si>
  <si>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</si>
  <si>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</si>
  <si>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</si>
  <si>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</si>
  <si>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</si>
  <si>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</si>
  <si>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</si>
  <si>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</si>
  <si>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</si>
  <si>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</si>
  <si>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</si>
  <si>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</si>
  <si>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</si>
  <si>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</si>
  <si>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</si>
  <si>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</si>
  <si>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</si>
  <si>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</si>
  <si>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</si>
  <si>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</si>
  <si>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</si>
  <si>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</si>
  <si>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</si>
  <si>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</si>
  <si>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</si>
  <si>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</si>
  <si>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</si>
  <si>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</si>
  <si>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</si>
  <si>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</si>
  <si>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</si>
  <si>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</si>
  <si>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</si>
  <si>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</si>
  <si>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</si>
  <si>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</si>
  <si>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</si>
  <si>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</si>
  <si>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</si>
  <si>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</si>
  <si>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</si>
  <si>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</si>
  <si>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</si>
  <si>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</si>
  <si>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</si>
  <si>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</si>
  <si>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</si>
  <si>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</si>
  <si>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</si>
  <si>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</si>
  <si>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</si>
  <si>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</si>
  <si>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</si>
  <si>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</si>
  <si>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</si>
  <si>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</si>
  <si>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</si>
  <si>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</si>
  <si>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</si>
  <si>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</si>
  <si>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</si>
  <si>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</si>
  <si>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</si>
  <si>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</si>
  <si>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</si>
  <si>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</si>
  <si>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</si>
  <si>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</si>
  <si>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</si>
  <si>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</si>
  <si>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</si>
  <si>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</si>
  <si>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</si>
  <si>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</si>
  <si>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</si>
  <si>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</si>
  <si>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</si>
  <si>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</si>
  <si>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</si>
  <si>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</si>
  <si>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</si>
  <si>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</si>
  <si>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</si>
  <si>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</si>
  <si>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</si>
  <si>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</si>
  <si>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</si>
  <si>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</si>
  <si>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</si>
  <si>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</si>
  <si>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</si>
  <si>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</si>
  <si>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</si>
  <si>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</si>
  <si>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</si>
  <si>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</si>
  <si>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</si>
  <si>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</si>
  <si>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</si>
  <si>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</si>
  <si>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</si>
  <si>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</si>
  <si>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</si>
  <si>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</si>
  <si>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</si>
  <si>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</si>
  <si>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</si>
  <si>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</si>
  <si>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</si>
  <si>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</si>
  <si>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</si>
  <si>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</si>
  <si>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</si>
  <si>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</si>
  <si>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</si>
  <si>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</si>
  <si>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</si>
  <si>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</si>
  <si>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</si>
  <si>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</si>
  <si>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</si>
  <si>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</si>
  <si>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</si>
  <si>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</si>
  <si>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</si>
  <si>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</si>
  <si>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</si>
  <si>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</si>
  <si>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</si>
  <si>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</si>
  <si>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</si>
  <si>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</si>
  <si>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</si>
  <si>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</si>
  <si>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</si>
  <si>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</si>
  <si>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</si>
  <si>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</si>
  <si>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</si>
  <si>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</si>
  <si>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</si>
  <si>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</si>
  <si>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</si>
  <si>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</si>
  <si>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</si>
  <si>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</si>
  <si>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</si>
  <si>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</si>
  <si>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</si>
  <si>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</si>
  <si>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</si>
  <si>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</si>
  <si>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</si>
  <si>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</si>
  <si>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</si>
  <si>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</si>
  <si>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</si>
  <si>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</si>
  <si>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</si>
  <si>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</si>
  <si>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</si>
  <si>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</si>
  <si>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</si>
  <si>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</si>
  <si>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</si>
  <si>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</si>
  <si>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</si>
  <si>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</si>
  <si>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</si>
  <si>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</si>
  <si>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</si>
  <si>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</si>
  <si>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</si>
  <si>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</si>
  <si>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</si>
  <si>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</si>
  <si>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</si>
  <si>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</si>
  <si>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</si>
  <si>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</si>
  <si>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</si>
  <si>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</si>
  <si>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</si>
  <si>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</si>
  <si>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</si>
  <si>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</si>
  <si>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</si>
  <si>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</si>
  <si>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</si>
  <si>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</si>
  <si>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</si>
  <si>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</si>
  <si>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</si>
  <si>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</si>
  <si>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</si>
  <si>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</si>
  <si>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</si>
  <si>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</si>
  <si>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</si>
  <si>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</si>
  <si>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</si>
  <si>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</si>
  <si>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</si>
  <si>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</si>
  <si>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</si>
  <si>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</si>
  <si>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</si>
  <si>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</si>
  <si>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</si>
  <si>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</si>
  <si>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</si>
  <si>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</si>
  <si>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</si>
  <si>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</si>
  <si>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</si>
  <si>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</si>
  <si>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</si>
  <si>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</si>
  <si>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</si>
  <si>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</si>
  <si>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</si>
  <si>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</si>
  <si>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</si>
  <si>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</si>
  <si>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</si>
  <si>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</si>
  <si>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</si>
  <si>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</si>
  <si>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</si>
  <si>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</si>
  <si>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</si>
  <si>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</si>
  <si>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</si>
  <si>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</si>
  <si>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</si>
  <si>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</si>
  <si>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</si>
  <si>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</si>
  <si>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</si>
  <si>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</si>
  <si>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</si>
  <si>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</si>
  <si>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</si>
  <si>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</si>
  <si>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</si>
  <si>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</si>
  <si>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</si>
  <si>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</si>
  <si>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</si>
  <si>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</si>
  <si>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</si>
  <si>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</si>
  <si>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</si>
  <si>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</si>
  <si>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</si>
  <si>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</si>
  <si>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</si>
  <si>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</si>
  <si>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</si>
  <si>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</si>
  <si>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</si>
  <si>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</si>
  <si>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</si>
  <si>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</si>
  <si>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</si>
  <si>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</si>
  <si>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</si>
  <si>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</si>
  <si>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</si>
  <si>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</si>
  <si>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</si>
  <si>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</si>
  <si>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</si>
  <si>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</si>
  <si>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</si>
  <si>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</si>
  <si>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</si>
  <si>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</si>
  <si>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</si>
  <si>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</si>
  <si>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</si>
  <si>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</si>
  <si>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</si>
  <si>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</si>
  <si>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</si>
  <si>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</si>
  <si>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</si>
  <si>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</si>
  <si>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</si>
  <si>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</si>
  <si>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</si>
  <si>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</si>
  <si>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</si>
  <si>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</si>
  <si>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</si>
  <si>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</si>
  <si>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</si>
  <si>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</si>
  <si>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</si>
  <si>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</si>
  <si>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</si>
  <si>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</si>
  <si>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</si>
  <si>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</si>
  <si>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</si>
  <si>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</si>
  <si>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</si>
  <si>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</si>
  <si>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</si>
  <si>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</si>
  <si>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</si>
  <si>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</si>
  <si>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</si>
  <si>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</si>
  <si>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</si>
  <si>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</si>
  <si>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</si>
  <si>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</si>
  <si>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</si>
  <si>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</si>
  <si>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</si>
  <si>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</si>
  <si>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</si>
  <si>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</si>
  <si>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</si>
  <si>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</si>
  <si>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</si>
  <si>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</si>
  <si>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</si>
  <si>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</si>
  <si>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</si>
  <si>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</si>
  <si>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</si>
  <si>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</si>
  <si>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</si>
  <si>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</si>
  <si>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</si>
  <si>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</si>
  <si>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</si>
  <si>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</si>
  <si>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</si>
  <si>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</si>
  <si>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</si>
  <si>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</si>
  <si>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</si>
  <si>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</si>
  <si>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</si>
  <si>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</si>
  <si>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</si>
  <si>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</si>
  <si>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</si>
  <si>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</si>
  <si>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</si>
  <si>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</si>
  <si>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</si>
  <si>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</si>
  <si>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</si>
  <si>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</si>
  <si>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</si>
  <si>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</si>
  <si>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</si>
  <si>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</si>
  <si>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</si>
  <si>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</si>
  <si>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</si>
  <si>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</si>
  <si>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</si>
  <si>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</si>
  <si>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</si>
  <si>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</si>
  <si>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</si>
  <si>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</si>
  <si>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</si>
  <si>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</si>
  <si>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</si>
  <si>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</si>
  <si>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</si>
  <si>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</si>
  <si>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</si>
  <si>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</si>
  <si>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</si>
  <si>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</si>
  <si>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</si>
  <si>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</si>
  <si>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</si>
  <si>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</si>
  <si>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</si>
  <si>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</si>
  <si>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</si>
  <si>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</si>
  <si>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</si>
  <si>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</si>
  <si>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</si>
  <si>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</si>
  <si>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</si>
  <si>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</si>
  <si>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</si>
  <si>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</si>
  <si>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</si>
  <si>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</si>
  <si>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</si>
  <si>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</si>
  <si>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</si>
  <si>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</si>
  <si>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</si>
  <si>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</si>
  <si>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</si>
  <si>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</si>
  <si>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</si>
  <si>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</si>
  <si>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</si>
  <si>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</si>
  <si>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</si>
  <si>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</si>
  <si>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</si>
  <si>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</si>
  <si>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</si>
  <si>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</si>
  <si>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</si>
  <si>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</si>
  <si>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</si>
  <si>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</si>
  <si>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</si>
  <si>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</si>
  <si>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</si>
  <si>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</si>
  <si>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</si>
  <si>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</si>
  <si>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</si>
  <si>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</si>
  <si>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</si>
  <si>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</si>
  <si>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</si>
  <si>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</si>
  <si>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</si>
  <si>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</si>
  <si>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</si>
  <si>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</si>
  <si>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</si>
  <si>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</si>
  <si>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</si>
  <si>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</si>
  <si>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</si>
  <si>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</si>
  <si>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</si>
  <si>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</si>
  <si>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</si>
  <si>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</si>
  <si>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</si>
  <si>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</si>
  <si>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</si>
  <si>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</si>
  <si>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</si>
  <si>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</si>
  <si>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</si>
  <si>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</si>
  <si>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</si>
  <si>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</si>
  <si>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</si>
  <si>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</si>
  <si>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</si>
  <si>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</si>
  <si>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</si>
  <si>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</si>
  <si>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</si>
  <si>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</si>
  <si>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</si>
  <si>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</si>
  <si>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</si>
  <si>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</si>
  <si>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</si>
  <si>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</si>
  <si>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</si>
  <si>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</si>
  <si>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</si>
  <si>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</si>
  <si>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</si>
  <si>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</si>
  <si>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</si>
  <si>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</si>
  <si>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</si>
  <si>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</si>
  <si>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</si>
  <si>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</si>
  <si>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</si>
  <si>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</si>
  <si>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</si>
  <si>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</si>
  <si>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</si>
  <si>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</si>
  <si>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</si>
  <si>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</si>
  <si>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</si>
  <si>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</si>
  <si>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</si>
  <si>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</si>
  <si>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</si>
  <si>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</si>
  <si>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</si>
  <si>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</si>
  <si>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</si>
  <si>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</si>
  <si>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</si>
  <si>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</si>
  <si>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</si>
  <si>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</si>
  <si>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</si>
  <si>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</si>
  <si>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</si>
  <si>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</si>
  <si>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</si>
  <si>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</si>
  <si>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</si>
  <si>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</si>
  <si>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</si>
  <si>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</si>
  <si>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</si>
  <si>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</si>
  <si>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</si>
  <si>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</si>
  <si>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</si>
  <si>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</si>
  <si>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</si>
  <si>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</si>
  <si>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</si>
  <si>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</si>
  <si>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</si>
  <si>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</si>
  <si>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</si>
  <si>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</si>
  <si>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</si>
  <si>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</si>
  <si>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</si>
  <si>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</si>
  <si>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</si>
  <si>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</si>
  <si>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</si>
  <si>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</si>
  <si>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</si>
  <si>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</si>
  <si>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</si>
  <si>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</si>
  <si>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</si>
  <si>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</si>
  <si>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</si>
  <si>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</si>
  <si>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</si>
  <si>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</si>
  <si>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</si>
  <si>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</si>
  <si>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</si>
  <si>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</si>
  <si>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</si>
  <si>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</si>
  <si>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</si>
  <si>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</si>
  <si>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</si>
  <si>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</si>
  <si>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</si>
  <si>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</si>
  <si>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</si>
  <si>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</si>
  <si>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</si>
  <si>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</si>
  <si>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</si>
  <si>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</si>
  <si>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</si>
  <si>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</si>
  <si>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</si>
  <si>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</si>
  <si>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</si>
  <si>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</si>
  <si>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</si>
  <si>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</si>
  <si>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</si>
  <si>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</si>
  <si>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</si>
  <si>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</si>
  <si>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</si>
  <si>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</si>
  <si>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</si>
  <si>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</si>
  <si>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</si>
  <si>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</si>
  <si>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</si>
  <si>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</si>
  <si>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</si>
  <si>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</si>
  <si>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</si>
  <si>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</si>
  <si>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</si>
  <si>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</si>
  <si>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</si>
  <si>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</si>
  <si>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</si>
  <si>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</si>
  <si>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</si>
  <si>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</si>
  <si>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</si>
  <si>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</si>
  <si>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</si>
  <si>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</si>
  <si>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</si>
  <si>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</si>
  <si>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</si>
  <si>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</si>
  <si>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</si>
  <si>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</si>
  <si>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</si>
  <si>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</si>
  <si>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</si>
  <si>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</si>
  <si>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</si>
  <si>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</si>
  <si>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</si>
  <si>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</si>
  <si>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</si>
  <si>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</si>
  <si>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</si>
  <si>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</si>
  <si>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</si>
  <si>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</si>
  <si>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</si>
  <si>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</si>
  <si>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</si>
  <si>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</si>
  <si>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</si>
  <si>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</si>
  <si>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</si>
  <si>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</si>
  <si>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</si>
  <si>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</si>
  <si>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</si>
  <si>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</si>
  <si>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</si>
  <si>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</si>
  <si>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</si>
  <si>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</si>
  <si>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</si>
  <si>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</si>
  <si>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</si>
  <si>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</si>
  <si>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</si>
  <si>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</si>
  <si>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</si>
  <si>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</si>
  <si>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</si>
  <si>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</si>
  <si>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</si>
  <si>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</si>
  <si>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</si>
  <si>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</si>
  <si>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</si>
  <si>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</si>
  <si>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</si>
  <si>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</si>
  <si>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</si>
  <si>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</si>
  <si>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</si>
  <si>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</si>
  <si>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</si>
  <si>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</si>
  <si>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</si>
  <si>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</si>
  <si>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</si>
  <si>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</si>
  <si>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</si>
  <si>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</si>
  <si>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</si>
  <si>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</si>
  <si>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</si>
  <si>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</si>
  <si>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</si>
  <si>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</si>
  <si>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</si>
  <si>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</si>
  <si>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</si>
  <si>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</si>
  <si>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</si>
  <si>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</si>
  <si>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</si>
  <si>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</si>
  <si>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</si>
  <si>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</si>
  <si>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</si>
  <si>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</si>
  <si>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</si>
  <si>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</si>
  <si>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</si>
  <si>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</si>
  <si>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</si>
  <si>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</si>
  <si>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</si>
  <si>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</si>
  <si>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</si>
  <si>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</si>
  <si>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</si>
  <si>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</si>
  <si>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</si>
  <si>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</si>
  <si>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</si>
  <si>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</si>
  <si>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</si>
  <si>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</si>
  <si>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</si>
  <si>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</si>
  <si>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</si>
  <si>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</si>
  <si>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</si>
  <si>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</si>
  <si>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</si>
  <si>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</si>
  <si>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</si>
  <si>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</si>
  <si>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</si>
  <si>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</si>
  <si>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</si>
  <si>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</si>
  <si>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</si>
  <si>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</si>
  <si>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</si>
  <si>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</si>
  <si>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</si>
  <si>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</si>
  <si>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</si>
  <si>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</si>
  <si>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</si>
  <si>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</si>
  <si>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</si>
  <si>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</si>
  <si>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</si>
  <si>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</si>
  <si>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</si>
  <si>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</si>
  <si>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</si>
  <si>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</si>
  <si>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</si>
  <si>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</si>
  <si>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</si>
  <si>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</si>
  <si>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</si>
  <si>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</si>
  <si>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</si>
  <si>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</si>
  <si>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</si>
  <si>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</si>
  <si>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</si>
  <si>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</si>
  <si>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</si>
  <si>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</si>
  <si>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</si>
  <si>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</si>
  <si>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</si>
  <si>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</si>
  <si>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</si>
  <si>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</si>
  <si>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</si>
  <si>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</si>
  <si>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</si>
  <si>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</si>
  <si>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</si>
  <si>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</si>
  <si>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</si>
  <si>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</si>
  <si>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</si>
  <si>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</si>
  <si>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</si>
  <si>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</si>
  <si>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</si>
  <si>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</si>
  <si>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</si>
  <si>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</si>
  <si>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</si>
  <si>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</si>
  <si>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</si>
  <si>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</si>
  <si>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</si>
  <si>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</si>
  <si>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</si>
  <si>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</si>
  <si>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</si>
  <si>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</si>
  <si>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</si>
  <si>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</si>
  <si>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</si>
  <si>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</si>
  <si>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</si>
  <si>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</si>
  <si>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</si>
  <si>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</si>
  <si>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</si>
  <si>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</si>
  <si>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</si>
  <si>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</si>
  <si>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</si>
  <si>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</si>
  <si>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</si>
  <si>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</si>
  <si>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</si>
  <si>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</si>
  <si>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</si>
  <si>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</si>
  <si>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</si>
  <si>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</si>
  <si>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</si>
  <si>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</si>
  <si>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</si>
  <si>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</si>
  <si>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</si>
  <si>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</si>
  <si>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</si>
  <si>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</si>
  <si>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</si>
  <si>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</si>
  <si>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</si>
  <si>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</si>
  <si>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</si>
  <si>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</si>
  <si>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</si>
  <si>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</si>
  <si>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</si>
  <si>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</si>
  <si>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</si>
  <si>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</si>
  <si>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</si>
  <si>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</si>
  <si>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</si>
  <si>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</si>
  <si>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</si>
  <si>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</si>
  <si>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</si>
  <si>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</si>
  <si>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</si>
  <si>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</si>
  <si>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</si>
  <si>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</si>
  <si>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</si>
  <si>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</si>
  <si>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</si>
  <si>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</si>
  <si>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</si>
  <si>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</si>
  <si>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</si>
  <si>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</si>
  <si>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</si>
  <si>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</si>
  <si>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</si>
  <si>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</si>
  <si>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</si>
  <si>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</si>
  <si>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</si>
  <si>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</si>
  <si>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</si>
  <si>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</si>
  <si>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</si>
  <si>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</si>
  <si>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</si>
  <si>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</si>
  <si>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</si>
  <si>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</si>
  <si>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</si>
  <si>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</si>
  <si>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</si>
  <si>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</si>
  <si>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</si>
  <si>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</si>
  <si>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</si>
  <si>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</si>
  <si>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</si>
  <si>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</si>
  <si>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</si>
  <si>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</si>
  <si>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</si>
  <si>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</si>
  <si>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</si>
  <si>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</si>
  <si>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</si>
  <si>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</si>
  <si>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</si>
  <si>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</si>
  <si>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</si>
  <si>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</si>
  <si>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</si>
  <si>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</si>
  <si>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</si>
  <si>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</si>
  <si>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</si>
  <si>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</si>
  <si>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</si>
  <si>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</si>
  <si>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</si>
  <si>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</si>
  <si>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</si>
  <si>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</si>
  <si>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</si>
  <si>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</si>
  <si>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</si>
  <si>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</si>
  <si>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</si>
  <si>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</si>
  <si>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</si>
  <si>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</si>
  <si>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</si>
  <si>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</si>
  <si>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</si>
  <si>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</si>
  <si>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</si>
  <si>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</si>
  <si>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</si>
  <si>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</si>
  <si>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</si>
  <si>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</si>
  <si>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</si>
  <si>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</si>
  <si>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</si>
  <si>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</si>
  <si>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</si>
  <si>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</si>
  <si>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</si>
  <si>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</si>
  <si>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</si>
  <si>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</si>
  <si>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</si>
  <si>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</si>
  <si>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</si>
  <si>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</si>
  <si>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</si>
  <si>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</si>
  <si>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</si>
  <si>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</si>
  <si>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</si>
  <si>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</si>
  <si>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</si>
  <si>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</si>
  <si>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</si>
  <si>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</si>
  <si>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</si>
  <si>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</si>
  <si>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</si>
  <si>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</si>
  <si>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</si>
  <si>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</si>
  <si>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</si>
  <si>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</si>
  <si>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</si>
  <si>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</si>
  <si>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</si>
  <si>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</si>
  <si>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</si>
  <si>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</si>
  <si>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</si>
  <si>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</si>
  <si>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</si>
  <si>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</si>
  <si>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</si>
  <si>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</si>
  <si>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</si>
  <si>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</si>
  <si>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</si>
  <si>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</si>
  <si>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</si>
  <si>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</si>
  <si>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</si>
  <si>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</si>
  <si>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</si>
  <si>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</si>
  <si>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</si>
  <si>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</si>
  <si>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</si>
  <si>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</si>
  <si>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</si>
  <si>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</si>
  <si>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</si>
  <si>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</si>
  <si>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</si>
  <si>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</si>
  <si>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</si>
  <si>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</si>
  <si>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</si>
  <si>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</si>
  <si>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</si>
  <si>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</si>
  <si>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</si>
  <si>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</si>
  <si>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</si>
  <si>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</si>
  <si>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</si>
  <si>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</si>
  <si>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</si>
  <si>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</si>
  <si>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</si>
  <si>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</si>
  <si>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</si>
  <si>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</si>
  <si>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</si>
  <si>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</si>
  <si>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</si>
  <si>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</si>
  <si>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</si>
  <si>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</si>
  <si>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</si>
  <si>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</si>
  <si>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</si>
  <si>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</si>
  <si>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</si>
  <si>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</si>
  <si>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</si>
  <si>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</si>
  <si>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</si>
  <si>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</si>
  <si>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</si>
  <si>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</si>
  <si>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</si>
  <si>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</si>
  <si>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</si>
  <si>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</si>
  <si>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</si>
  <si>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</si>
  <si>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</si>
  <si>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</si>
  <si>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</si>
  <si>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</si>
  <si>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</si>
  <si>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</si>
  <si>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</si>
  <si>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</si>
  <si>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</si>
  <si>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</si>
  <si>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</si>
  <si>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</si>
  <si>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</si>
  <si>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</si>
  <si>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</si>
  <si>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</si>
  <si>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</si>
  <si>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</si>
  <si>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</si>
  <si>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</si>
  <si>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</si>
  <si>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</si>
  <si>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</si>
  <si>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</si>
  <si>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</si>
  <si>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</si>
  <si>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</si>
  <si>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</si>
  <si>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</si>
  <si>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</si>
  <si>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</si>
  <si>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</si>
  <si>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</si>
  <si>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</si>
  <si>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</si>
  <si>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</si>
  <si>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</si>
  <si>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</si>
  <si>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</si>
  <si>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</si>
  <si>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</si>
  <si>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</si>
  <si>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</si>
  <si>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</si>
  <si>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</si>
  <si>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</si>
  <si>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</si>
  <si>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</si>
  <si>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</si>
  <si>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</si>
  <si>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</si>
  <si>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</si>
  <si>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</si>
  <si>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</si>
  <si>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</si>
  <si>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</si>
  <si>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</si>
  <si>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</si>
  <si>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</si>
  <si>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</si>
  <si>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</si>
  <si>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</si>
  <si>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</si>
  <si>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</si>
  <si>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</si>
  <si>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</si>
  <si>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</si>
  <si>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</si>
  <si>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</si>
  <si>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</si>
  <si>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</si>
  <si>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</si>
  <si>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</si>
  <si>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</si>
  <si>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</si>
  <si>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</si>
  <si>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</si>
  <si>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</si>
  <si>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</si>
  <si>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</si>
  <si>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</si>
  <si>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</si>
  <si>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</si>
  <si>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</si>
  <si>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</si>
  <si>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</si>
  <si>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</si>
  <si>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</si>
  <si>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</si>
  <si>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</si>
  <si>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</si>
  <si>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</si>
  <si>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</si>
  <si>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</si>
  <si>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</si>
  <si>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</si>
  <si>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</si>
  <si>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</si>
  <si>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</si>
  <si>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</si>
  <si>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</si>
  <si>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</si>
  <si>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</si>
  <si>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</si>
  <si>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</si>
  <si>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</si>
  <si>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</si>
  <si>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</si>
  <si>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</si>
  <si>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</si>
  <si>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</si>
  <si>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</si>
  <si>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</si>
  <si>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</si>
  <si>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</si>
  <si>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</si>
  <si>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</si>
  <si>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</si>
  <si>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</si>
  <si>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</si>
  <si>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</si>
  <si>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</si>
  <si>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</si>
  <si>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</si>
  <si>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</si>
  <si>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</si>
  <si>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</si>
  <si>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</si>
  <si>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</si>
  <si>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</si>
  <si>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</si>
  <si>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</si>
  <si>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</si>
  <si>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</si>
  <si>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</si>
  <si>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</si>
  <si>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</si>
  <si>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</si>
  <si>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</si>
  <si>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</si>
  <si>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</si>
  <si>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</si>
  <si>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</si>
  <si>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</si>
  <si>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</si>
  <si>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</si>
  <si>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</si>
  <si>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</si>
  <si>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</si>
  <si>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</si>
  <si>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</si>
  <si>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</si>
  <si>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</si>
  <si>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</si>
  <si>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</si>
  <si>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</si>
  <si>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</si>
  <si>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</si>
  <si>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</si>
  <si>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</si>
  <si>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</si>
  <si>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</si>
  <si>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</si>
  <si>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</si>
  <si>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</si>
  <si>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</si>
  <si>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</si>
  <si>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</si>
  <si>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</si>
  <si>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</si>
  <si>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</si>
  <si>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</si>
  <si>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</si>
  <si>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</si>
  <si>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</si>
  <si>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</si>
  <si>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</si>
  <si>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</si>
  <si>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</si>
  <si>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</si>
  <si>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</si>
  <si>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</si>
  <si>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</si>
  <si>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</si>
  <si>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</si>
  <si>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</si>
  <si>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</si>
  <si>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</si>
  <si>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</si>
  <si>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</si>
  <si>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</si>
  <si>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</si>
  <si>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</si>
  <si>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</si>
  <si>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</si>
  <si>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</si>
  <si>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</si>
  <si>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</si>
  <si>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</si>
  <si>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</si>
  <si>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</si>
  <si>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</si>
  <si>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</si>
  <si>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</si>
  <si>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</si>
  <si>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</si>
  <si>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</si>
  <si>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</si>
  <si>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</si>
  <si>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</si>
  <si>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</si>
  <si>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</si>
  <si>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</si>
  <si>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</si>
  <si>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</si>
  <si>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</si>
  <si>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</si>
  <si>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</si>
  <si>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</si>
  <si>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</si>
  <si>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</si>
  <si>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</si>
  <si>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</si>
  <si>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</si>
  <si>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</si>
  <si>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</si>
  <si>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</si>
  <si>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</si>
  <si>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</si>
  <si>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</si>
  <si>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</si>
  <si>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</si>
  <si>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</si>
  <si>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</si>
  <si>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</si>
  <si>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</si>
  <si>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</si>
  <si>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</si>
  <si>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</si>
  <si>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</si>
  <si>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</si>
  <si>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</si>
  <si>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</si>
  <si>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</si>
  <si>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</si>
  <si>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</si>
  <si>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</si>
  <si>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</si>
  <si>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</si>
  <si>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</si>
  <si>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</si>
  <si>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</si>
  <si>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</si>
  <si>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</si>
  <si>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</si>
  <si>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</si>
  <si>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</si>
  <si>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</si>
  <si>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</si>
  <si>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</si>
  <si>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</si>
  <si>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</si>
  <si>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</si>
  <si>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</si>
  <si>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</si>
  <si>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</si>
  <si>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</si>
  <si>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</si>
  <si>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</si>
  <si>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</si>
  <si>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</si>
  <si>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</si>
  <si>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</si>
  <si>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</si>
  <si>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</si>
  <si>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</si>
  <si>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</si>
  <si>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</si>
  <si>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</si>
  <si>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</si>
  <si>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</si>
  <si>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</si>
  <si>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</si>
  <si>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</si>
  <si>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</si>
  <si>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</si>
  <si>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</si>
  <si>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</si>
  <si>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</si>
  <si>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</si>
  <si>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</si>
  <si>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</si>
  <si>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</si>
  <si>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</si>
  <si>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</si>
  <si>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</si>
  <si>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</si>
  <si>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</si>
  <si>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</si>
  <si>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</si>
  <si>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</si>
  <si>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</si>
  <si>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</si>
  <si>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</si>
  <si>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</si>
  <si>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</si>
  <si>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</si>
  <si>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</si>
  <si>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</si>
  <si>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</si>
  <si>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</si>
  <si>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</si>
  <si>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</si>
  <si>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</si>
  <si>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</si>
  <si>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</si>
  <si>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</si>
  <si>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</si>
  <si>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</si>
  <si>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</si>
  <si>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</si>
  <si>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</si>
  <si>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</si>
  <si>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</si>
  <si>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</si>
  <si>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</si>
  <si>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</si>
  <si>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</si>
  <si>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</si>
  <si>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</si>
  <si>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</si>
  <si>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</si>
  <si>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</si>
  <si>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</si>
  <si>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</si>
  <si>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</si>
  <si>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</si>
  <si>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</si>
  <si>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</si>
  <si>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</si>
  <si>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</si>
  <si>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</si>
  <si>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</si>
  <si>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</si>
  <si>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</si>
  <si>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</si>
  <si>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</si>
  <si>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</si>
  <si>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</si>
  <si>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</si>
  <si>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</si>
  <si>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</si>
  <si>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</si>
  <si>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</si>
  <si>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</si>
  <si>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</si>
  <si>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</si>
  <si>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</si>
  <si>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</si>
  <si>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</si>
  <si>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</si>
  <si>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</si>
  <si>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</si>
  <si>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</si>
  <si>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</si>
  <si>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</si>
  <si>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</si>
  <si>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</si>
  <si>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</si>
  <si>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</si>
  <si>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</si>
  <si>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</si>
  <si>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</si>
  <si>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</si>
  <si>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</si>
  <si>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</si>
  <si>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</si>
  <si>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</si>
  <si>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</si>
  <si>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</si>
  <si>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</si>
  <si>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</si>
  <si>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</si>
  <si>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</si>
  <si>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</si>
  <si>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</si>
  <si>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</si>
  <si>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</si>
  <si>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</si>
  <si>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</si>
  <si>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</si>
  <si>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</si>
  <si>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</si>
  <si>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</si>
  <si>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</si>
  <si>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</si>
  <si>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</si>
  <si>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</si>
  <si>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</si>
  <si>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</si>
  <si>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</si>
  <si>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</si>
  <si>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</si>
  <si>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</si>
  <si>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</si>
  <si>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</si>
  <si>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</si>
  <si>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</si>
  <si>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</si>
  <si>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</si>
  <si>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</si>
  <si>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</si>
  <si>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</si>
  <si>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</si>
  <si>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</si>
  <si>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</si>
  <si>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</si>
  <si>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</si>
  <si>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</si>
  <si>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</si>
  <si>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</si>
  <si>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</si>
  <si>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</si>
  <si>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</si>
  <si>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</si>
  <si>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</si>
  <si>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</si>
  <si>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</si>
  <si>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</si>
  <si>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</si>
  <si>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</si>
  <si>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</si>
  <si>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</si>
  <si>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</si>
  <si>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</si>
  <si>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</si>
  <si>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</si>
  <si>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</si>
  <si>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</si>
  <si>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</si>
  <si>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</si>
  <si>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</si>
  <si>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</si>
  <si>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</si>
  <si>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</si>
  <si>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</si>
  <si>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</si>
  <si>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</si>
  <si>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</si>
  <si>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</si>
  <si>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</si>
  <si>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</si>
  <si>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</si>
  <si>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</si>
  <si>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</si>
  <si>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</si>
  <si>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</si>
  <si>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</si>
  <si>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</si>
  <si>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</si>
  <si>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</si>
  <si>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</si>
  <si>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</si>
  <si>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</si>
  <si>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</si>
  <si>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</si>
  <si>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</si>
  <si>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</si>
  <si>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</si>
  <si>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</si>
  <si>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</si>
  <si>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</si>
  <si>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</si>
  <si>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</si>
  <si>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</si>
  <si>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</si>
  <si>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</si>
  <si>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</si>
  <si>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</si>
  <si>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</si>
  <si>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</si>
  <si>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</si>
  <si>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</si>
  <si>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</si>
  <si>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</si>
  <si>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</si>
  <si>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</si>
  <si>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</si>
  <si>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</si>
  <si>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</si>
  <si>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</si>
  <si>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</si>
  <si>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</si>
  <si>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</si>
  <si>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</si>
  <si>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</si>
  <si>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</si>
  <si>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</si>
  <si>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</si>
  <si>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</si>
  <si>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</si>
  <si>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</si>
  <si>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</si>
  <si>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</si>
  <si>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</si>
  <si>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</si>
  <si>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</si>
  <si>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</si>
  <si>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</si>
  <si>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</si>
  <si>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</si>
  <si>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</si>
  <si>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</si>
  <si>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</si>
  <si>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</si>
  <si>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</si>
  <si>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</si>
  <si>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</si>
  <si>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</si>
  <si>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</si>
  <si>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</si>
  <si>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</si>
  <si>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</si>
  <si>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</si>
  <si>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</si>
  <si>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</si>
  <si>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</si>
  <si>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</si>
  <si>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</si>
  <si>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</si>
  <si>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</si>
  <si>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</si>
  <si>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</si>
  <si>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</si>
  <si>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</si>
  <si>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</si>
  <si>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</si>
  <si>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</si>
  <si>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</si>
  <si>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</si>
  <si>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</si>
  <si>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</si>
  <si>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</si>
  <si>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</si>
  <si>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</si>
  <si>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</si>
  <si>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</si>
  <si>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</si>
  <si>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</si>
  <si>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</si>
  <si>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</si>
  <si>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</si>
  <si>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</si>
  <si>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</si>
  <si>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</si>
  <si>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</si>
  <si>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</si>
  <si>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</si>
  <si>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</si>
  <si>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</si>
  <si>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</si>
  <si>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</si>
  <si>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</si>
  <si>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</si>
  <si>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</si>
  <si>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</si>
  <si>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</si>
  <si>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</si>
  <si>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</si>
  <si>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</si>
  <si>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</si>
  <si>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</si>
  <si>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</si>
  <si>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</si>
  <si>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</si>
  <si>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</si>
  <si>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</si>
  <si>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</si>
  <si>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</si>
  <si>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</si>
  <si>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</si>
  <si>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</si>
  <si>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</si>
  <si>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</si>
  <si>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</si>
  <si>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</si>
  <si>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</si>
  <si>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</si>
  <si>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</si>
  <si>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</si>
  <si>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</si>
  <si>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</si>
  <si>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</si>
  <si>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</si>
  <si>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</si>
  <si>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</si>
  <si>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</si>
  <si>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</si>
  <si>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</si>
  <si>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</si>
  <si>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</si>
  <si>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</si>
  <si>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</si>
  <si>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</si>
  <si>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</si>
  <si>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</si>
  <si>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</si>
  <si>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</si>
  <si>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</si>
  <si>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</si>
  <si>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</si>
  <si>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</si>
  <si>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</si>
  <si>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</si>
  <si>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</si>
  <si>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</si>
  <si>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</si>
  <si>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</si>
  <si>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</si>
  <si>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</si>
  <si>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</si>
  <si>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</si>
  <si>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</si>
  <si>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</si>
  <si>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</si>
  <si>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</si>
  <si>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</si>
  <si>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</si>
  <si>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</si>
  <si>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</si>
  <si>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</si>
  <si>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</si>
  <si>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</si>
  <si>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</si>
  <si>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</si>
  <si>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</si>
  <si>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</si>
  <si>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</si>
  <si>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</si>
  <si>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</si>
  <si>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</si>
  <si>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</si>
  <si>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</si>
  <si>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</si>
  <si>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</si>
  <si>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</si>
  <si>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</si>
  <si>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</si>
  <si>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</si>
  <si>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</si>
  <si>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</si>
  <si>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</si>
  <si>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</si>
  <si>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</si>
  <si>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</si>
  <si>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</si>
  <si>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</si>
  <si>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</si>
  <si>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</si>
  <si>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</si>
  <si>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</si>
  <si>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</si>
  <si>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</si>
  <si>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</si>
  <si>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</si>
  <si>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</si>
  <si>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</si>
  <si>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</si>
  <si>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</si>
  <si>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</si>
  <si>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</si>
  <si>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</si>
  <si>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</si>
  <si>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</si>
  <si>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</si>
  <si>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</si>
  <si>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</si>
  <si>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</si>
  <si>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</si>
  <si>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</si>
  <si>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</si>
  <si>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</si>
  <si>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</si>
  <si>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</si>
  <si>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</si>
  <si>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</si>
  <si>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</si>
  <si>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</si>
  <si>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</si>
  <si>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</si>
  <si>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</si>
  <si>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</si>
  <si>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</si>
  <si>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</si>
  <si>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</si>
  <si>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</si>
  <si>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</si>
  <si>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</si>
  <si>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</si>
  <si>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</si>
  <si>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</si>
  <si>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</si>
  <si>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</si>
  <si>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</si>
  <si>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</si>
  <si>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</si>
  <si>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</si>
  <si>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</si>
  <si>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</si>
  <si>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</si>
  <si>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</si>
  <si>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</si>
  <si>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</si>
  <si>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</si>
  <si>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</si>
  <si>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</si>
  <si>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</si>
  <si>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</si>
  <si>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</si>
  <si>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</si>
  <si>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</si>
  <si>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</si>
  <si>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</si>
  <si>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</si>
  <si>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</si>
  <si>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</si>
  <si>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</si>
  <si>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</si>
  <si>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</si>
  <si>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</si>
  <si>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</si>
  <si>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</si>
  <si>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</si>
  <si>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</si>
  <si>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</si>
  <si>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</si>
  <si>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</si>
  <si>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</si>
  <si>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</si>
  <si>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</si>
  <si>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</si>
  <si>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</si>
  <si>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</si>
  <si>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</si>
  <si>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</si>
  <si>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</si>
  <si>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</si>
  <si>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</si>
  <si>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</si>
  <si>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</si>
  <si>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</si>
  <si>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</si>
  <si>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</si>
  <si>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</si>
  <si>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</si>
  <si>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</si>
  <si>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</si>
  <si>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</si>
  <si>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</si>
  <si>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</si>
  <si>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</si>
  <si>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</si>
  <si>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</si>
  <si>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</si>
  <si>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</si>
  <si>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</si>
  <si>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</si>
  <si>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</si>
  <si>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</si>
  <si>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</si>
  <si>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</si>
  <si>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</si>
  <si>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</si>
  <si>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</si>
  <si>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</si>
  <si>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</si>
  <si>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</si>
  <si>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</si>
  <si>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</si>
  <si>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</si>
  <si>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</si>
  <si>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</si>
  <si>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</si>
  <si>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</si>
  <si>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</si>
  <si>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</si>
  <si>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</si>
  <si>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</si>
  <si>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</si>
  <si>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</si>
  <si>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</si>
  <si>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</si>
  <si>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</si>
  <si>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</si>
  <si>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</si>
  <si>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</si>
  <si>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</si>
  <si>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</si>
  <si>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</si>
  <si>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</si>
  <si>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</si>
  <si>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</si>
  <si>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</si>
  <si>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</si>
  <si>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</si>
  <si>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</si>
  <si>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</si>
  <si>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</si>
  <si>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</si>
  <si>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</si>
  <si>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</si>
  <si>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</si>
  <si>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</si>
  <si>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</si>
  <si>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</si>
  <si>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</si>
  <si>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</si>
  <si>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</si>
  <si>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</si>
  <si>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</si>
  <si>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</si>
  <si>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</si>
  <si>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</si>
  <si>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</si>
  <si>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</si>
  <si>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</si>
  <si>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</si>
  <si>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</si>
  <si>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</si>
  <si>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</si>
  <si>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</si>
  <si>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</si>
  <si>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</si>
  <si>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</si>
  <si>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</si>
  <si>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</si>
  <si>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</si>
  <si>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</si>
  <si>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</si>
  <si>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</si>
  <si>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</si>
  <si>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</si>
  <si>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</si>
  <si>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</si>
  <si>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</si>
  <si>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</si>
  <si>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</si>
  <si>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</si>
  <si>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</si>
  <si>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</si>
  <si>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</si>
  <si>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</si>
  <si>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</si>
  <si>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</si>
  <si>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</si>
  <si>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</si>
  <si>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</si>
  <si>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</si>
  <si>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</si>
  <si>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</si>
  <si>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</si>
  <si>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</si>
  <si>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</si>
  <si>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</si>
  <si>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</si>
  <si>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</si>
  <si>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</si>
  <si>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</si>
  <si>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</si>
  <si>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</si>
  <si>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</si>
  <si>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</si>
  <si>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</si>
  <si>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</si>
  <si>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</si>
  <si>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</si>
  <si>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</si>
  <si>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</si>
  <si>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</si>
  <si>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</si>
  <si>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</si>
  <si>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</si>
  <si>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</si>
  <si>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</si>
  <si>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</si>
  <si>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</si>
  <si>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</si>
  <si>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</si>
  <si>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</si>
  <si>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</si>
  <si>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</si>
  <si>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</si>
  <si>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</si>
  <si>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</si>
  <si>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</si>
  <si>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</si>
  <si>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</si>
  <si>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</si>
  <si>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</si>
  <si>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</si>
  <si>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</si>
  <si>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</si>
  <si>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</si>
  <si>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</si>
  <si>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</si>
  <si>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</si>
  <si>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</si>
  <si>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</si>
  <si>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</si>
  <si>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</si>
  <si>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</si>
  <si>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</si>
  <si>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</si>
  <si>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</si>
  <si>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</si>
  <si>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</si>
  <si>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</si>
  <si>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</si>
  <si>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</si>
  <si>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</si>
  <si>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</si>
  <si>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</si>
  <si>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</si>
  <si>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</si>
  <si>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</si>
  <si>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</si>
  <si>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</si>
  <si>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</si>
  <si>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</si>
  <si>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</si>
  <si>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</si>
  <si>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</si>
  <si>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</si>
  <si>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</si>
  <si>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</si>
  <si>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</si>
  <si>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</si>
  <si>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</si>
  <si>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</si>
  <si>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</si>
  <si>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</si>
  <si>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</si>
  <si>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</si>
  <si>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</si>
  <si>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</si>
  <si>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</si>
  <si>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</si>
  <si>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</si>
  <si>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</si>
  <si>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</si>
  <si>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</si>
  <si>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</si>
  <si>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</si>
  <si>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</si>
  <si>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</si>
  <si>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</si>
  <si>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</si>
  <si>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</si>
  <si>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</si>
  <si>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</si>
  <si>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</si>
  <si>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</si>
  <si>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</si>
  <si>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</si>
  <si>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</si>
  <si>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</si>
  <si>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</si>
  <si>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</si>
  <si>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</si>
  <si>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</si>
  <si>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</si>
  <si>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</si>
  <si>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</si>
  <si>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</si>
  <si>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</si>
  <si>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</si>
  <si>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</si>
  <si>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</si>
  <si>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</si>
  <si>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</si>
  <si>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</si>
  <si>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</si>
  <si>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</si>
  <si>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</si>
  <si>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</si>
  <si>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</si>
  <si>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</si>
  <si>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</si>
  <si>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</si>
  <si>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</si>
  <si>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</si>
  <si>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</si>
  <si>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</si>
  <si>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</si>
  <si>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</si>
  <si>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</si>
  <si>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</si>
  <si>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</si>
  <si>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</si>
  <si>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</si>
  <si>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</si>
  <si>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</si>
  <si>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</si>
  <si>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</si>
  <si>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</si>
  <si>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</si>
  <si>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</si>
  <si>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</si>
  <si>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</si>
  <si>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</si>
  <si>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</si>
  <si>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</si>
  <si>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</si>
  <si>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</si>
  <si>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</si>
  <si>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</si>
  <si>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</si>
  <si>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</si>
  <si>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</si>
  <si>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</si>
  <si>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</si>
  <si>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</si>
  <si>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</si>
  <si>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</si>
  <si>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</si>
  <si>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</si>
  <si>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</si>
  <si>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</si>
  <si>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</si>
  <si>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</si>
  <si>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</si>
  <si>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</si>
  <si>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</si>
  <si>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</si>
  <si>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</si>
  <si>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</si>
  <si>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</si>
  <si>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</si>
  <si>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</si>
  <si>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</si>
  <si>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</si>
  <si>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</si>
  <si>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</si>
  <si>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</si>
  <si>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</si>
  <si>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</si>
  <si>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</si>
  <si>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</si>
  <si>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</si>
  <si>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</si>
  <si>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</si>
  <si>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</si>
  <si>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</si>
  <si>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</si>
  <si>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</si>
  <si>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</si>
  <si>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</si>
  <si>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</si>
  <si>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</si>
  <si>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</si>
  <si>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</si>
  <si>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</si>
  <si>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</si>
  <si>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</si>
  <si>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</si>
  <si>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</si>
  <si>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</si>
  <si>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</si>
  <si>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</si>
  <si>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</si>
  <si>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</si>
  <si>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</si>
  <si>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</si>
  <si>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</si>
  <si>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</si>
  <si>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</si>
  <si>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</si>
  <si>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</si>
  <si>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</si>
  <si>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</si>
  <si>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</si>
  <si>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</si>
  <si>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</si>
  <si>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</si>
  <si>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</si>
  <si>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</si>
  <si>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</si>
  <si>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</si>
  <si>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</si>
  <si>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</si>
  <si>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</si>
  <si>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</si>
  <si>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</si>
  <si>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</si>
  <si>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</si>
  <si>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</si>
  <si>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</si>
  <si>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</si>
  <si>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</si>
  <si>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</si>
  <si>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</si>
  <si>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</si>
  <si>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</si>
  <si>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</si>
  <si>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</si>
  <si>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</si>
  <si>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</si>
  <si>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</si>
  <si>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</si>
  <si>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</si>
  <si>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</si>
  <si>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</si>
  <si>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</si>
  <si>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</si>
  <si>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</si>
  <si>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</si>
  <si>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</si>
  <si>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</si>
  <si>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</si>
  <si>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</si>
  <si>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</si>
  <si>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</si>
  <si>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</si>
  <si>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</si>
  <si>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</si>
  <si>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</si>
  <si>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</si>
  <si>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</si>
  <si>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</si>
  <si>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</si>
  <si>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</si>
  <si>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</si>
  <si>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</si>
  <si>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</si>
  <si>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</si>
  <si>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</si>
  <si>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</si>
  <si>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</si>
  <si>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</si>
  <si>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</si>
  <si>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</si>
  <si>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</si>
  <si>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</si>
  <si>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</si>
  <si>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</si>
  <si>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</si>
  <si>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</si>
  <si>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</si>
  <si>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</si>
  <si>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</si>
  <si>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</si>
  <si>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</si>
  <si>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</si>
  <si>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</si>
  <si>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</si>
  <si>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</si>
  <si>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</si>
  <si>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</si>
  <si>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</si>
  <si>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</si>
  <si>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</si>
  <si>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</si>
  <si>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</si>
  <si>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</si>
  <si>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</si>
  <si>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</si>
  <si>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</si>
  <si>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</si>
  <si>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</si>
  <si>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</si>
  <si>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</si>
  <si>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</si>
  <si>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</si>
  <si>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</si>
  <si>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</si>
  <si>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</si>
  <si>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</si>
  <si>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</si>
  <si>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</si>
  <si>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</si>
  <si>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</si>
  <si>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</si>
  <si>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</si>
  <si>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</si>
  <si>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</si>
  <si>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</si>
  <si>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</si>
  <si>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</si>
  <si>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</si>
  <si>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</si>
  <si>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</si>
  <si>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</si>
  <si>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</si>
  <si>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</si>
  <si>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</si>
  <si>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</si>
  <si>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</si>
  <si>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</si>
  <si>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</si>
  <si>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</si>
  <si>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</si>
  <si>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</si>
  <si>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</si>
  <si>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</si>
  <si>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</si>
  <si>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</si>
  <si>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</si>
  <si>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</si>
  <si>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</si>
  <si>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</si>
  <si>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</si>
  <si>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</si>
  <si>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</si>
  <si>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</si>
  <si>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</si>
  <si>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</si>
  <si>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</si>
  <si>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</si>
  <si>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</si>
  <si>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</si>
  <si>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</si>
  <si>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</si>
  <si>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</si>
  <si>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</si>
  <si>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</si>
  <si>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</si>
  <si>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</si>
  <si>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</si>
  <si>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</si>
  <si>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</si>
  <si>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</si>
  <si>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</si>
  <si>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</si>
  <si>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</si>
  <si>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</si>
  <si>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</si>
  <si>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</si>
  <si>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</si>
  <si>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</si>
  <si>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</si>
  <si>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</si>
  <si>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</si>
  <si>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</si>
  <si>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</si>
  <si>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</si>
  <si>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</si>
  <si>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</si>
  <si>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</si>
  <si>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</si>
  <si>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</si>
  <si>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</si>
  <si>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</si>
  <si>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</si>
  <si>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</si>
  <si>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</si>
  <si>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</si>
  <si>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</si>
  <si>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</si>
  <si>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</si>
  <si>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</si>
  <si>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</si>
  <si>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</si>
  <si>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</si>
  <si>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</si>
  <si>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</si>
  <si>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</si>
  <si>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</si>
  <si>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</si>
  <si>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</si>
  <si>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</si>
  <si>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</si>
  <si>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</si>
  <si>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</si>
  <si>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</si>
  <si>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</si>
  <si>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</si>
  <si>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</si>
  <si>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</si>
  <si>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</si>
  <si>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</si>
  <si>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</si>
  <si>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</si>
  <si>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</si>
  <si>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</si>
  <si>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</si>
  <si>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</si>
  <si>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</si>
  <si>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</si>
  <si>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</si>
  <si>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</si>
  <si>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</si>
  <si>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</si>
  <si>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</si>
  <si>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</si>
  <si>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</si>
  <si>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</si>
  <si>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</si>
  <si>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</si>
  <si>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</si>
  <si>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</si>
  <si>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</si>
  <si>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</si>
  <si>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</si>
  <si>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</si>
  <si>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</si>
  <si>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</si>
  <si>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</si>
  <si>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</si>
  <si>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</si>
  <si>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</si>
  <si>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</si>
  <si>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</si>
  <si>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</si>
  <si>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</si>
  <si>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</si>
  <si>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</si>
  <si>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</si>
  <si>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</si>
  <si>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</si>
  <si>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</si>
  <si>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</si>
  <si>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</si>
  <si>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</si>
  <si>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</si>
  <si>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</si>
  <si>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</si>
  <si>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</si>
  <si>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</si>
  <si>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</si>
  <si>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</si>
  <si>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</si>
  <si>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</si>
  <si>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</si>
  <si>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</si>
  <si>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</si>
  <si>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</si>
  <si>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</si>
  <si>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</si>
  <si>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</si>
  <si>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</si>
  <si>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</si>
  <si>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</si>
  <si>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</si>
  <si>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</si>
  <si>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</si>
  <si>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</si>
  <si>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</si>
  <si>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</si>
  <si>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</si>
  <si>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</si>
  <si>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</si>
  <si>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</si>
  <si>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</si>
  <si>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</si>
  <si>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</si>
  <si>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</si>
  <si>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</si>
  <si>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</si>
  <si>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</si>
  <si>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</si>
  <si>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</si>
  <si>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</si>
  <si>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</si>
  <si>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</si>
  <si>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</si>
  <si>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</si>
  <si>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</si>
  <si>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</si>
  <si>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</si>
  <si>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</si>
  <si>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</si>
  <si>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</si>
  <si>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</si>
  <si>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</si>
  <si>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</si>
  <si>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</si>
  <si>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</si>
  <si>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</si>
  <si>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</si>
  <si>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</si>
  <si>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</si>
  <si>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</si>
  <si>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</si>
  <si>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</si>
  <si>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</si>
  <si>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</si>
  <si>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</si>
  <si>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</si>
  <si>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</si>
  <si>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</si>
  <si>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</si>
  <si>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</si>
  <si>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</si>
  <si>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</si>
  <si>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</si>
  <si>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</si>
  <si>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</si>
  <si>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</si>
  <si>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</si>
  <si>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</si>
  <si>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</si>
  <si>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</si>
  <si>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</si>
  <si>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</si>
  <si>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</si>
  <si>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</si>
  <si>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</si>
  <si>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</si>
  <si>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</si>
  <si>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</si>
  <si>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</si>
  <si>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</si>
  <si>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</si>
  <si>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</si>
  <si>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</si>
  <si>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</si>
  <si>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</si>
  <si>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</si>
  <si>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</si>
  <si>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</si>
  <si>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</si>
  <si>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</si>
  <si>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</si>
  <si>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</si>
  <si>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</si>
  <si>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</si>
  <si>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</si>
  <si>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</si>
  <si>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</si>
  <si>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</si>
  <si>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</si>
  <si>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</si>
  <si>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</si>
  <si>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</si>
  <si>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</si>
  <si>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</si>
  <si>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</si>
  <si>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</si>
  <si>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</si>
  <si>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</si>
  <si>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</si>
  <si>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</si>
  <si>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</si>
  <si>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</si>
  <si>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</si>
  <si>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</si>
  <si>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</si>
  <si>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</si>
  <si>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</si>
  <si>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</si>
  <si>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</si>
  <si>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</si>
  <si>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</si>
  <si>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</si>
  <si>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</si>
  <si>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</si>
  <si>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</si>
  <si>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</si>
  <si>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</si>
  <si>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</si>
  <si>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</si>
  <si>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</si>
  <si>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</si>
  <si>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</si>
  <si>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</si>
  <si>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</si>
  <si>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</si>
  <si>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</si>
  <si>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</si>
  <si>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</si>
  <si>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</si>
  <si>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</si>
  <si>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</si>
  <si>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</si>
  <si>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</si>
  <si>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</si>
  <si>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</si>
  <si>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</si>
  <si>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</si>
  <si>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</si>
  <si>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</si>
  <si>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</si>
  <si>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</si>
  <si>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</si>
  <si>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</si>
  <si>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</si>
  <si>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</si>
  <si>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</si>
  <si>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</si>
  <si>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</si>
  <si>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</si>
  <si>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</si>
  <si>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</si>
  <si>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</si>
  <si>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</si>
  <si>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</si>
  <si>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</si>
  <si>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</si>
  <si>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</si>
  <si>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</si>
  <si>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</si>
  <si>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</si>
  <si>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</si>
  <si>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</si>
  <si>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</si>
  <si>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</si>
  <si>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</si>
  <si>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</si>
  <si>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</si>
  <si>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</si>
  <si>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</si>
  <si>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</si>
  <si>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</si>
  <si>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</si>
  <si>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</si>
  <si>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</si>
  <si>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</si>
  <si>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</si>
  <si>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</si>
  <si>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</si>
  <si>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</si>
  <si>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</si>
  <si>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</si>
  <si>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</si>
  <si>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</si>
  <si>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</si>
  <si>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</si>
  <si>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</si>
  <si>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</si>
  <si>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</si>
  <si>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</si>
  <si>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</si>
  <si>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</si>
  <si>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</si>
  <si>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</si>
  <si>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</si>
  <si>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</si>
  <si>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</si>
  <si>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</si>
  <si>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</si>
  <si>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</si>
  <si>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</si>
  <si>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</si>
  <si>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</si>
  <si>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</si>
  <si>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</si>
  <si>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</si>
  <si>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</si>
  <si>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</si>
  <si>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</si>
  <si>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</si>
  <si>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</si>
  <si>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</si>
  <si>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</si>
  <si>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</si>
  <si>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</si>
  <si>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</si>
  <si>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</si>
  <si>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</si>
  <si>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</si>
  <si>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</si>
  <si>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</si>
  <si>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</si>
  <si>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</si>
  <si>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</si>
  <si>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</si>
  <si>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</si>
  <si>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</si>
  <si>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</si>
  <si>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</si>
  <si>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</si>
  <si>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</si>
  <si>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</si>
  <si>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</si>
  <si>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</si>
  <si>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</si>
  <si>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</si>
  <si>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</si>
  <si>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</si>
  <si>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</si>
  <si>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</si>
  <si>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</si>
  <si>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</si>
  <si>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</si>
  <si>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</si>
  <si>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</si>
  <si>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</si>
  <si>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</si>
  <si>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</si>
  <si>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</si>
  <si>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</si>
  <si>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</si>
  <si>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</si>
  <si>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</si>
  <si>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</si>
  <si>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</si>
  <si>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</si>
  <si>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</si>
  <si>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</si>
  <si>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</si>
  <si>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</si>
  <si>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</si>
  <si>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</si>
  <si>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</si>
  <si>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</si>
  <si>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</si>
  <si>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</si>
  <si>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</si>
  <si>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</si>
  <si>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</si>
  <si>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</si>
  <si>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</si>
  <si>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</si>
  <si>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</si>
  <si>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</si>
  <si>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</si>
  <si>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</si>
  <si>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</si>
  <si>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</si>
  <si>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</si>
  <si>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</si>
  <si>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</si>
  <si>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</si>
  <si>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</si>
  <si>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</si>
  <si>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</si>
  <si>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</si>
  <si>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</si>
  <si>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</si>
  <si>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</si>
  <si>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</si>
  <si>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</si>
  <si>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</si>
  <si>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</si>
  <si>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</si>
  <si>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</si>
  <si>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</si>
  <si>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</si>
  <si>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</si>
  <si>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</si>
  <si>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</si>
  <si>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</si>
  <si>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</si>
  <si>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</si>
  <si>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</si>
  <si>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</si>
  <si>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</si>
  <si>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</si>
  <si>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</si>
  <si>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</si>
  <si>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</si>
  <si>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</si>
  <si>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</si>
  <si>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</si>
  <si>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</si>
  <si>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</si>
  <si>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</si>
  <si>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</si>
  <si>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</si>
  <si>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</si>
  <si>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</si>
  <si>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</si>
  <si>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</si>
  <si>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</si>
  <si>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</si>
  <si>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</si>
  <si>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</si>
  <si>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</si>
  <si>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</si>
  <si>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</si>
  <si>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</si>
  <si>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</si>
  <si>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</si>
  <si>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</si>
  <si>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</si>
  <si>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</si>
  <si>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</si>
  <si>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</si>
  <si>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</si>
  <si>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</si>
  <si>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</si>
  <si>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</si>
  <si>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</si>
  <si>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</si>
  <si>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</si>
  <si>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</si>
  <si>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</si>
  <si>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</si>
  <si>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</si>
  <si>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</si>
  <si>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</si>
  <si>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</si>
  <si>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</si>
  <si>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</si>
  <si>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</si>
  <si>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</si>
  <si>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</si>
  <si>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</si>
  <si>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</si>
  <si>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</si>
  <si>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</si>
  <si>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</si>
  <si>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</si>
  <si>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</si>
  <si>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</si>
  <si>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</si>
  <si>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</si>
  <si>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</si>
  <si>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</si>
  <si>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</si>
  <si>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</si>
  <si>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</si>
  <si>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</si>
  <si>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</si>
  <si>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</si>
  <si>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</si>
  <si>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</si>
  <si>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</si>
  <si>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</si>
  <si>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</si>
  <si>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</si>
  <si>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</si>
  <si>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</si>
  <si>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</si>
  <si>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</si>
  <si>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</si>
  <si>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</si>
  <si>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</si>
  <si>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</si>
  <si>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</si>
  <si>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</si>
  <si>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</si>
  <si>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</si>
  <si>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</si>
  <si>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</si>
  <si>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</si>
  <si>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</si>
  <si>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</si>
  <si>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</si>
  <si>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</si>
  <si>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</si>
  <si>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</si>
  <si>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</si>
  <si>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</si>
  <si>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</si>
  <si>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</si>
  <si>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</si>
  <si>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</si>
  <si>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</si>
  <si>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</si>
  <si>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</si>
  <si>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</si>
  <si>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</si>
  <si>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</si>
  <si>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</si>
  <si>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</si>
  <si>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</si>
  <si>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</si>
  <si>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</si>
  <si>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</si>
  <si>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</si>
  <si>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</si>
  <si>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</si>
  <si>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</si>
  <si>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</si>
  <si>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</si>
  <si>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</si>
  <si>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</si>
  <si>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</si>
  <si>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</si>
  <si>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</si>
  <si>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</si>
  <si>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</si>
  <si>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</si>
  <si>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</si>
  <si>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</si>
  <si>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</si>
  <si>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</si>
  <si>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</si>
  <si>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</si>
  <si>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</si>
  <si>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</si>
  <si>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</si>
  <si>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</si>
  <si>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</si>
  <si>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</si>
  <si>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</si>
  <si>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</si>
  <si>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</si>
  <si>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</si>
  <si>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</si>
  <si>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</si>
  <si>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</si>
  <si>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</si>
  <si>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</si>
  <si>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</si>
  <si>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</si>
  <si>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</si>
  <si>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</si>
  <si>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</si>
  <si>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</si>
  <si>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</si>
  <si>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</si>
  <si>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</si>
  <si>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</si>
  <si>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</si>
  <si>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</si>
  <si>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</si>
  <si>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</si>
  <si>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</si>
  <si>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</si>
  <si>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</si>
  <si>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</si>
  <si>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</si>
  <si>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</si>
  <si>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</si>
  <si>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</si>
  <si>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</si>
  <si>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</si>
  <si>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</si>
  <si>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</si>
  <si>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</si>
  <si>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</si>
  <si>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</si>
  <si>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</si>
  <si>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</si>
  <si>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</si>
  <si>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</si>
  <si>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</si>
  <si>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</si>
  <si>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</si>
  <si>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</si>
  <si>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</si>
  <si>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</si>
  <si>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</si>
  <si>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</si>
  <si>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</si>
  <si>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</si>
  <si>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</si>
  <si>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</si>
  <si>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</si>
  <si>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</si>
  <si>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</si>
  <si>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</si>
  <si>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</si>
  <si>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</si>
  <si>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</si>
  <si>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</si>
  <si>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</si>
  <si>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</si>
  <si>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</si>
  <si>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</si>
  <si>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</si>
  <si>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</si>
  <si>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</si>
  <si>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</si>
  <si>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</si>
  <si>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</si>
  <si>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</si>
  <si>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</si>
  <si>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</si>
  <si>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</si>
  <si>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</si>
  <si>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</si>
  <si>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</si>
  <si>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</si>
  <si>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</si>
  <si>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</si>
  <si>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</si>
  <si>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</si>
  <si>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</si>
  <si>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</si>
  <si>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</si>
  <si>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</si>
  <si>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</si>
  <si>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</si>
  <si>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</si>
  <si>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</si>
  <si>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</si>
  <si>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</si>
  <si>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</si>
  <si>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</si>
  <si>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</si>
  <si>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</si>
  <si>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</si>
  <si>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</si>
  <si>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</si>
  <si>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</si>
  <si>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</si>
  <si>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</si>
  <si>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</si>
  <si>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</si>
  <si>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</si>
  <si>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</si>
  <si>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</si>
  <si>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</si>
  <si>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</si>
  <si>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</si>
  <si>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</si>
  <si>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</si>
  <si>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</si>
  <si>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</si>
  <si>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</si>
  <si>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</si>
  <si>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</si>
  <si>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</si>
  <si>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</si>
  <si>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</si>
  <si>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</si>
  <si>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</si>
  <si>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</si>
  <si>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</si>
  <si>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</si>
  <si>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</si>
  <si>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</si>
  <si>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</si>
  <si>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</si>
  <si>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</si>
  <si>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</si>
  <si>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</si>
  <si>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</si>
  <si>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</si>
  <si>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</si>
  <si>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</si>
  <si>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</si>
  <si>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</si>
  <si>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</si>
  <si>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</si>
  <si>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</si>
  <si>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</si>
  <si>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</si>
  <si>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</si>
  <si>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</si>
  <si>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</si>
  <si>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</si>
  <si>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</si>
  <si>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</si>
  <si>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</si>
  <si>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</si>
  <si>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</si>
  <si>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</si>
  <si>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</si>
  <si>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</si>
  <si>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</si>
  <si>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</si>
  <si>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</si>
  <si>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</si>
  <si>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</si>
  <si>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</si>
  <si>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</si>
  <si>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</si>
  <si>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</si>
  <si>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</si>
  <si>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</si>
  <si>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</si>
  <si>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</si>
  <si>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</si>
  <si>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</si>
  <si>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</si>
  <si>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</si>
  <si>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</si>
  <si>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</si>
  <si>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</si>
  <si>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</si>
  <si>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</si>
  <si>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</si>
  <si>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</si>
  <si>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</si>
  <si>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</si>
  <si>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</si>
  <si>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</si>
  <si>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</si>
  <si>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</si>
  <si>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</si>
  <si>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</si>
  <si>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</si>
  <si>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</si>
  <si>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</si>
  <si>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</si>
  <si>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</si>
  <si>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</si>
  <si>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</si>
  <si>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</si>
  <si>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</si>
  <si>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</si>
  <si>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</si>
  <si>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</si>
  <si>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</si>
  <si>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</si>
  <si>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</si>
  <si>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</si>
  <si>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</si>
  <si>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</si>
  <si>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</si>
  <si>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</si>
  <si>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</si>
  <si>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</si>
  <si>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</si>
  <si>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</si>
  <si>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</si>
  <si>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</si>
  <si>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</si>
  <si>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</si>
  <si>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</si>
  <si>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</si>
  <si>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</si>
  <si>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</si>
  <si>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</si>
  <si>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</si>
  <si>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</si>
  <si>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</si>
  <si>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</si>
  <si>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</si>
  <si>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</si>
  <si>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</si>
  <si>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</si>
  <si>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</si>
  <si>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</si>
  <si>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</si>
  <si>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</si>
  <si>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</si>
  <si>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</si>
  <si>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</si>
  <si>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</si>
  <si>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</si>
  <si>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</si>
  <si>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</si>
  <si>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</si>
  <si>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</si>
  <si>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</si>
  <si>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</si>
  <si>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</si>
  <si>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</si>
  <si>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</si>
  <si>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</si>
  <si>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</si>
  <si>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</si>
  <si>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</si>
  <si>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</si>
  <si>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</si>
  <si>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</si>
  <si>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</si>
  <si>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</si>
  <si>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</si>
  <si>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</si>
  <si>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</si>
  <si>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</si>
  <si>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</si>
  <si>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</si>
  <si>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</si>
  <si>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</si>
  <si>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</si>
  <si>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</si>
  <si>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</si>
  <si>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</si>
  <si>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</si>
  <si>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</si>
  <si>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</si>
  <si>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</si>
  <si>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</si>
  <si>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</si>
  <si>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</si>
  <si>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</si>
  <si>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Duplicate_Check</t>
  </si>
  <si>
    <t>Change ID</t>
  </si>
  <si>
    <t>Description</t>
  </si>
  <si>
    <t>Status</t>
  </si>
  <si>
    <t>CR001</t>
  </si>
  <si>
    <t>Completed</t>
  </si>
  <si>
    <t>CR002</t>
  </si>
  <si>
    <t>CR003</t>
  </si>
  <si>
    <t>Metric</t>
  </si>
  <si>
    <t>Value</t>
  </si>
  <si>
    <t>Total Records</t>
  </si>
  <si>
    <t>Total Revenue</t>
  </si>
  <si>
    <t>Average Order Value</t>
  </si>
  <si>
    <t>Highest Order Value</t>
  </si>
  <si>
    <t>Lowest Order Value</t>
  </si>
  <si>
    <t>Median Order Value</t>
  </si>
  <si>
    <t>Count</t>
  </si>
  <si>
    <t>Payment Method</t>
  </si>
  <si>
    <t>Source</t>
  </si>
  <si>
    <t>Coupon</t>
  </si>
  <si>
    <t>Created Summary Statistics sheet</t>
  </si>
  <si>
    <t>Performed Product Analysis</t>
  </si>
  <si>
    <t>Performed Payment Method Analysis</t>
  </si>
  <si>
    <t>CR004</t>
  </si>
  <si>
    <t>Performed Referral Source Analysis</t>
  </si>
  <si>
    <t>CR005</t>
  </si>
  <si>
    <t>Performed Coupon Analysis</t>
  </si>
  <si>
    <t>CR006</t>
  </si>
  <si>
    <t>Performed Order Status Analysis</t>
  </si>
  <si>
    <t>CR007</t>
  </si>
  <si>
    <t>Documented EDA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</si>
</sst>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70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0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15"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30480</xdr:rowOff>
    </xdr:from>
    <xdr:to>
      <xdr:col>1</xdr:col>
      <xdr:colOff>1127760</xdr:colOff>
      <xdr:row>1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4EC6F6D-AD16-4B72-95E0-F91786252A20}"/>
            </a:ext>
          </a:extLst>
        </xdr:cNvPr>
        <xdr:cNvSpPr/>
      </xdr:nvSpPr>
      <xdr:spPr>
        <a:xfrm>
          <a:off x="22860" y="30480"/>
          <a:ext cx="2087880" cy="32004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 i="0">
              <a:latin typeface="Times New Roman" panose="02020603050405020304" pitchFamily="18" charset="0"/>
              <a:cs typeface="Times New Roman" panose="02020603050405020304" pitchFamily="18" charset="0"/>
            </a:rPr>
            <a:t>Product Analysis</a:t>
          </a:r>
        </a:p>
      </xdr:txBody>
    </xdr:sp>
    <xdr:clientData/>
  </xdr:twoCellAnchor>
  <xdr:twoCellAnchor>
    <xdr:from>
      <xdr:col>4</xdr:col>
      <xdr:colOff>0</xdr:colOff>
      <xdr:row>0</xdr:row>
      <xdr:rowOff>22860</xdr:rowOff>
    </xdr:from>
    <xdr:to>
      <xdr:col>5</xdr:col>
      <xdr:colOff>1524000</xdr:colOff>
      <xdr:row>1</xdr:row>
      <xdr:rowOff>160020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92931FC-6481-AFCB-F58E-F338E9325AC4}"/>
            </a:ext>
          </a:extLst>
        </xdr:cNvPr>
        <xdr:cNvSpPr/>
      </xdr:nvSpPr>
      <xdr:spPr>
        <a:xfrm>
          <a:off x="3383280" y="22860"/>
          <a:ext cx="3093720" cy="33528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latin typeface="Times New Roman" panose="02020603050405020304" pitchFamily="18" charset="0"/>
              <a:cs typeface="Times New Roman" panose="02020603050405020304" pitchFamily="18" charset="0"/>
            </a:rPr>
            <a:t>Payment Method Analysis</a:t>
          </a:r>
        </a:p>
      </xdr:txBody>
    </xdr:sp>
    <xdr:clientData/>
  </xdr:twoCellAnchor>
  <xdr:twoCellAnchor>
    <xdr:from>
      <xdr:col>8</xdr:col>
      <xdr:colOff>15240</xdr:colOff>
      <xdr:row>0</xdr:row>
      <xdr:rowOff>30480</xdr:rowOff>
    </xdr:from>
    <xdr:to>
      <xdr:col>9</xdr:col>
      <xdr:colOff>1516380</xdr:colOff>
      <xdr:row>1</xdr:row>
      <xdr:rowOff>160020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44CC131-6332-745D-7CB6-2EE680A47575}"/>
            </a:ext>
          </a:extLst>
        </xdr:cNvPr>
        <xdr:cNvSpPr/>
      </xdr:nvSpPr>
      <xdr:spPr>
        <a:xfrm>
          <a:off x="7886700" y="30480"/>
          <a:ext cx="3147060" cy="32766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Order Status Analysis</a:t>
          </a:r>
        </a:p>
      </xdr:txBody>
    </xdr:sp>
    <xdr:clientData/>
  </xdr:twoCellAnchor>
  <xdr:twoCellAnchor>
    <xdr:from>
      <xdr:col>0</xdr:col>
      <xdr:colOff>15240</xdr:colOff>
      <xdr:row>11</xdr:row>
      <xdr:rowOff>0</xdr:rowOff>
    </xdr:from>
    <xdr:to>
      <xdr:col>2</xdr:col>
      <xdr:colOff>0</xdr:colOff>
      <xdr:row>12</xdr:row>
      <xdr:rowOff>144780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55E7BEC-5F5C-40CC-A62F-29DE6940EEBC}"/>
            </a:ext>
          </a:extLst>
        </xdr:cNvPr>
        <xdr:cNvSpPr/>
      </xdr:nvSpPr>
      <xdr:spPr>
        <a:xfrm>
          <a:off x="15240" y="2026920"/>
          <a:ext cx="2103120" cy="32766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Referral</a:t>
          </a:r>
          <a:r>
            <a:rPr lang="en-IN" sz="1400" b="1" baseline="0"/>
            <a:t> Source Analysis</a:t>
          </a:r>
          <a:endParaRPr lang="en-IN" sz="1400" b="1"/>
        </a:p>
      </xdr:txBody>
    </xdr:sp>
    <xdr:clientData/>
  </xdr:twoCellAnchor>
  <xdr:twoCellAnchor>
    <xdr:from>
      <xdr:col>4</xdr:col>
      <xdr:colOff>7620</xdr:colOff>
      <xdr:row>10</xdr:row>
      <xdr:rowOff>175260</xdr:rowOff>
    </xdr:from>
    <xdr:to>
      <xdr:col>6</xdr:col>
      <xdr:colOff>0</xdr:colOff>
      <xdr:row>12</xdr:row>
      <xdr:rowOff>137160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1797E91-F984-474C-B57A-545B0929C86E}"/>
            </a:ext>
          </a:extLst>
        </xdr:cNvPr>
        <xdr:cNvSpPr/>
      </xdr:nvSpPr>
      <xdr:spPr>
        <a:xfrm>
          <a:off x="3390900" y="2019300"/>
          <a:ext cx="3101340" cy="32766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400" b="1"/>
            <a:t>Coupon</a:t>
          </a:r>
          <a:r>
            <a:rPr lang="en-IN" sz="1400" b="1" baseline="0"/>
            <a:t> Code Analysis</a:t>
          </a:r>
          <a:endParaRPr lang="en-IN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0</xdr:row>
      <xdr:rowOff>22860</xdr:rowOff>
    </xdr:from>
    <xdr:to>
      <xdr:col>14</xdr:col>
      <xdr:colOff>426720</xdr:colOff>
      <xdr:row>25</xdr:row>
      <xdr:rowOff>129540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F41A1A1-3121-A180-3F9A-6726DDDF4958}"/>
            </a:ext>
          </a:extLst>
        </xdr:cNvPr>
        <xdr:cNvSpPr/>
      </xdr:nvSpPr>
      <xdr:spPr>
        <a:xfrm>
          <a:off x="1699260" y="22860"/>
          <a:ext cx="7261860" cy="467868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EDA</a:t>
          </a:r>
          <a:r>
            <a:rPr lang="en-IN" sz="14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OBSERVATIONS</a:t>
          </a:r>
          <a:endParaRPr lang="en-IN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1. The dataset contains 1200 transaction records.</a:t>
          </a:r>
        </a:p>
        <a:p>
          <a:pPr algn="l"/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2. The total revenue generated is ₹12,64,761.96.</a:t>
          </a:r>
        </a:p>
        <a:p>
          <a:pPr algn="l"/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3. The average order value is ₹1,053.97.</a:t>
          </a:r>
        </a:p>
        <a:p>
          <a:pPr algn="l"/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4. Printer is the most ordered product with 181 orders.</a:t>
          </a:r>
        </a:p>
        <a:p>
          <a:pPr algn="l"/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5. Online payment is the most preferred payment method with 258 transactions.</a:t>
          </a:r>
        </a:p>
        <a:p>
          <a:pPr algn="l"/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6. Instagram is the highest-performing referral source with 259 orders.</a:t>
          </a:r>
        </a:p>
        <a:p>
          <a:pPr algn="l"/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7. FREESHIP is the most frequently used coupon code with 313 usages.</a:t>
          </a:r>
        </a:p>
        <a:p>
          <a:pPr algn="l"/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8. Cancelled orders (250) and returned orders (247) are relatively high compared to delivered orders (231).</a:t>
          </a:r>
        </a:p>
        <a:p>
          <a:pPr algn="l"/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9. Customer acquisition through social media channels appears effective, especially Instagram.</a:t>
          </a:r>
        </a:p>
        <a:p>
          <a:pPr algn="l"/>
          <a:endParaRPr lang="en-IN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200">
              <a:latin typeface="Times New Roman" panose="02020603050405020304" pitchFamily="18" charset="0"/>
              <a:cs typeface="Times New Roman" panose="02020603050405020304" pitchFamily="18" charset="0"/>
            </a:rPr>
            <a:t>10. The dataset is suitable for further business intelligence reporting and dashboard development.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BFA9A-AE1B-48DE-8B1D-8F7251DB2E18}" name="Table1" displayName="Table1" ref="A3:B10" totalsRowShown="0" headerRowDxfId="14">
  <autoFilter ref="A3:B10" xr:uid="{364BFA9A-AE1B-48DE-8B1D-8F7251DB2E18}"/>
  <tableColumns count="2">
    <tableColumn id="1" xr3:uid="{6954EE37-A9FE-43B1-B92F-C10609CEC613}" name="Product" dataDxfId="12"/>
    <tableColumn id="2" xr3:uid="{7582881E-C311-41CB-B55B-450B97F6124F}" name="Count" dataDxfId="13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4EC4A4-E3FC-4FE0-9CE8-462C247D9F5F}" name="Table2" displayName="Table2" ref="E3:F8" totalsRowShown="0" headerRowDxfId="11">
  <autoFilter ref="E3:F8" xr:uid="{514EC4A4-E3FC-4FE0-9CE8-462C247D9F5F}"/>
  <tableColumns count="2">
    <tableColumn id="1" xr3:uid="{0DC3162B-31C3-41EC-9909-4FE9DF396873}" name="Payment Method" dataDxfId="10"/>
    <tableColumn id="2" xr3:uid="{F9FD3557-8AF3-498D-9AC2-466EBE5327A0}" name="Count" dataDxfId="9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C11716-83AB-490A-BBDD-7CA9EC83F323}" name="Table3" displayName="Table3" ref="I3:J7" totalsRowShown="0" headerRowDxfId="8">
  <autoFilter ref="I3:J7" xr:uid="{76C11716-83AB-490A-BBDD-7CA9EC83F323}"/>
  <tableColumns count="2">
    <tableColumn id="1" xr3:uid="{91CDFFD0-407D-43D6-95CE-567E8508E966}" name="Status" dataDxfId="7"/>
    <tableColumn id="2" xr3:uid="{230C9F76-D5C4-4109-89DE-8A1D423E772D}" name="Count" dataDxfId="0">
      <calculatedColumnFormula>COUNTIF(Cleaned_Dataset!I1:I1201,"Delivered")</calculatedColumnFormula>
    </tableColumn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9B0707-C5B9-47C3-8A1D-3DFB46FBD250}" name="Table4" displayName="Table4" ref="A14:B18" totalsRowShown="0" headerRowDxfId="3" dataDxfId="4">
  <autoFilter ref="A14:B18" xr:uid="{349B0707-C5B9-47C3-8A1D-3DFB46FBD250}"/>
  <tableColumns count="2">
    <tableColumn id="1" xr3:uid="{6A3DC2E4-324F-41F5-8BB1-B8BC390E452E}" name="Source" dataDxfId="6"/>
    <tableColumn id="2" xr3:uid="{ED3B6B53-64F8-4A0D-A8A0-235047AE043A}" name="Count" dataDxfId="5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1DCF43-30BD-4BAE-B203-7B7289FD0B79}" name="Table5" displayName="Table5" ref="E14:F18" totalsRowShown="0" headerRowDxfId="1">
  <autoFilter ref="E14:F18" xr:uid="{D31DCF43-30BD-4BAE-B203-7B7289FD0B79}"/>
  <tableColumns count="2">
    <tableColumn id="1" xr3:uid="{1E174093-75B0-4A18-BA51-6089458C9FF7}" name="Coupon" dataDxfId="2"/>
    <tableColumn id="2" xr3:uid="{B7927519-1DE1-4954-B877-C9A1108F502A}" name="Count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workbookViewId="0">
      <selection activeCell="I2" sqref="I2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5" max="15" width="15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4284</v>
      </c>
    </row>
    <row r="2" spans="1:15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O2">
        <f>COUNTIF($A:$A,A2)</f>
        <v>1</v>
      </c>
    </row>
    <row r="3" spans="1:15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O3">
        <f t="shared" ref="O3:O66" si="0">COUNTIF($A:$A,A3)</f>
        <v>1</v>
      </c>
    </row>
    <row r="4" spans="1:15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O4">
        <f t="shared" si="0"/>
        <v>1</v>
      </c>
    </row>
    <row r="5" spans="1:15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O5">
        <f t="shared" si="0"/>
        <v>1</v>
      </c>
    </row>
    <row r="6" spans="1:15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O6">
        <f t="shared" si="0"/>
        <v>1</v>
      </c>
    </row>
    <row r="7" spans="1:15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O7">
        <f t="shared" si="0"/>
        <v>1</v>
      </c>
    </row>
    <row r="8" spans="1:15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O8">
        <f t="shared" si="0"/>
        <v>1</v>
      </c>
    </row>
    <row r="9" spans="1:15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O9">
        <f t="shared" si="0"/>
        <v>1</v>
      </c>
    </row>
    <row r="10" spans="1:15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O10">
        <f t="shared" si="0"/>
        <v>1</v>
      </c>
    </row>
    <row r="11" spans="1:15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O11">
        <f t="shared" si="0"/>
        <v>1</v>
      </c>
    </row>
    <row r="12" spans="1:15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O12">
        <f t="shared" si="0"/>
        <v>1</v>
      </c>
    </row>
    <row r="13" spans="1:15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O13">
        <f t="shared" si="0"/>
        <v>1</v>
      </c>
    </row>
    <row r="14" spans="1:15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O14">
        <f t="shared" si="0"/>
        <v>1</v>
      </c>
    </row>
    <row r="15" spans="1:15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O15">
        <f t="shared" si="0"/>
        <v>1</v>
      </c>
    </row>
    <row r="16" spans="1:15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O16">
        <f t="shared" si="0"/>
        <v>1</v>
      </c>
    </row>
    <row r="17" spans="1:15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O17">
        <f t="shared" si="0"/>
        <v>1</v>
      </c>
    </row>
    <row r="18" spans="1:15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O18">
        <f t="shared" si="0"/>
        <v>1</v>
      </c>
    </row>
    <row r="19" spans="1:15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O19">
        <f t="shared" si="0"/>
        <v>1</v>
      </c>
    </row>
    <row r="20" spans="1:15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O20">
        <f t="shared" si="0"/>
        <v>1</v>
      </c>
    </row>
    <row r="21" spans="1:15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O21">
        <f t="shared" si="0"/>
        <v>1</v>
      </c>
    </row>
    <row r="22" spans="1:15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O22">
        <f t="shared" si="0"/>
        <v>1</v>
      </c>
    </row>
    <row r="23" spans="1:15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O23">
        <f t="shared" si="0"/>
        <v>1</v>
      </c>
    </row>
    <row r="24" spans="1:15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O24">
        <f t="shared" si="0"/>
        <v>1</v>
      </c>
    </row>
    <row r="25" spans="1:15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O25">
        <f t="shared" si="0"/>
        <v>1</v>
      </c>
    </row>
    <row r="26" spans="1:15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O26">
        <f t="shared" si="0"/>
        <v>1</v>
      </c>
    </row>
    <row r="27" spans="1:15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O27">
        <f t="shared" si="0"/>
        <v>1</v>
      </c>
    </row>
    <row r="28" spans="1:15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O28">
        <f t="shared" si="0"/>
        <v>1</v>
      </c>
    </row>
    <row r="29" spans="1:15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O29">
        <f t="shared" si="0"/>
        <v>1</v>
      </c>
    </row>
    <row r="30" spans="1:15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O30">
        <f t="shared" si="0"/>
        <v>1</v>
      </c>
    </row>
    <row r="31" spans="1:15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O31">
        <f t="shared" si="0"/>
        <v>1</v>
      </c>
    </row>
    <row r="32" spans="1:15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O32">
        <f t="shared" si="0"/>
        <v>1</v>
      </c>
    </row>
    <row r="33" spans="1:15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O33">
        <f t="shared" si="0"/>
        <v>1</v>
      </c>
    </row>
    <row r="34" spans="1:15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O34">
        <f t="shared" si="0"/>
        <v>1</v>
      </c>
    </row>
    <row r="35" spans="1:15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O35">
        <f t="shared" si="0"/>
        <v>1</v>
      </c>
    </row>
    <row r="36" spans="1:15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O36">
        <f t="shared" si="0"/>
        <v>1</v>
      </c>
    </row>
    <row r="37" spans="1:15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O37">
        <f t="shared" si="0"/>
        <v>1</v>
      </c>
    </row>
    <row r="38" spans="1:15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O38">
        <f t="shared" si="0"/>
        <v>1</v>
      </c>
    </row>
    <row r="39" spans="1:15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O39">
        <f t="shared" si="0"/>
        <v>1</v>
      </c>
    </row>
    <row r="40" spans="1:15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O40">
        <f t="shared" si="0"/>
        <v>1</v>
      </c>
    </row>
    <row r="41" spans="1:15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O41">
        <f t="shared" si="0"/>
        <v>1</v>
      </c>
    </row>
    <row r="42" spans="1:15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O42">
        <f t="shared" si="0"/>
        <v>1</v>
      </c>
    </row>
    <row r="43" spans="1:15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O43">
        <f t="shared" si="0"/>
        <v>1</v>
      </c>
    </row>
    <row r="44" spans="1:15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O44">
        <f t="shared" si="0"/>
        <v>1</v>
      </c>
    </row>
    <row r="45" spans="1:15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O45">
        <f t="shared" si="0"/>
        <v>1</v>
      </c>
    </row>
    <row r="46" spans="1:15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O46">
        <f t="shared" si="0"/>
        <v>1</v>
      </c>
    </row>
    <row r="47" spans="1:15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O47">
        <f t="shared" si="0"/>
        <v>1</v>
      </c>
    </row>
    <row r="48" spans="1:15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O48">
        <f t="shared" si="0"/>
        <v>1</v>
      </c>
    </row>
    <row r="49" spans="1:15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O49">
        <f t="shared" si="0"/>
        <v>1</v>
      </c>
    </row>
    <row r="50" spans="1:15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O50">
        <f t="shared" si="0"/>
        <v>1</v>
      </c>
    </row>
    <row r="51" spans="1:15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O51">
        <f t="shared" si="0"/>
        <v>1</v>
      </c>
    </row>
    <row r="52" spans="1:15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O52">
        <f t="shared" si="0"/>
        <v>1</v>
      </c>
    </row>
    <row r="53" spans="1:15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O53">
        <f t="shared" si="0"/>
        <v>1</v>
      </c>
    </row>
    <row r="54" spans="1:15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O54">
        <f t="shared" si="0"/>
        <v>1</v>
      </c>
    </row>
    <row r="55" spans="1:15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O55">
        <f t="shared" si="0"/>
        <v>1</v>
      </c>
    </row>
    <row r="56" spans="1:15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O56">
        <f t="shared" si="0"/>
        <v>1</v>
      </c>
    </row>
    <row r="57" spans="1:15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O57">
        <f t="shared" si="0"/>
        <v>1</v>
      </c>
    </row>
    <row r="58" spans="1:15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O58">
        <f t="shared" si="0"/>
        <v>1</v>
      </c>
    </row>
    <row r="59" spans="1:15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O59">
        <f t="shared" si="0"/>
        <v>1</v>
      </c>
    </row>
    <row r="60" spans="1:15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O60">
        <f t="shared" si="0"/>
        <v>1</v>
      </c>
    </row>
    <row r="61" spans="1:15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O61">
        <f t="shared" si="0"/>
        <v>1</v>
      </c>
    </row>
    <row r="62" spans="1:15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O62">
        <f t="shared" si="0"/>
        <v>1</v>
      </c>
    </row>
    <row r="63" spans="1:15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O63">
        <f t="shared" si="0"/>
        <v>1</v>
      </c>
    </row>
    <row r="64" spans="1:15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O64">
        <f t="shared" si="0"/>
        <v>1</v>
      </c>
    </row>
    <row r="65" spans="1:15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O65">
        <f t="shared" si="0"/>
        <v>1</v>
      </c>
    </row>
    <row r="66" spans="1:15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O66">
        <f t="shared" si="0"/>
        <v>1</v>
      </c>
    </row>
    <row r="67" spans="1:15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O67">
        <f t="shared" ref="O67:O130" si="1">COUNTIF($A:$A,A67)</f>
        <v>1</v>
      </c>
    </row>
    <row r="68" spans="1:15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O68">
        <f t="shared" si="1"/>
        <v>1</v>
      </c>
    </row>
    <row r="69" spans="1:15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O69">
        <f t="shared" si="1"/>
        <v>1</v>
      </c>
    </row>
    <row r="70" spans="1:15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O70">
        <f t="shared" si="1"/>
        <v>1</v>
      </c>
    </row>
    <row r="71" spans="1:15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O71">
        <f t="shared" si="1"/>
        <v>1</v>
      </c>
    </row>
    <row r="72" spans="1:15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O72">
        <f t="shared" si="1"/>
        <v>1</v>
      </c>
    </row>
    <row r="73" spans="1:15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O73">
        <f t="shared" si="1"/>
        <v>1</v>
      </c>
    </row>
    <row r="74" spans="1:15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O74">
        <f t="shared" si="1"/>
        <v>1</v>
      </c>
    </row>
    <row r="75" spans="1:15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O75">
        <f t="shared" si="1"/>
        <v>1</v>
      </c>
    </row>
    <row r="76" spans="1:15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O76">
        <f t="shared" si="1"/>
        <v>1</v>
      </c>
    </row>
    <row r="77" spans="1:15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O77">
        <f t="shared" si="1"/>
        <v>1</v>
      </c>
    </row>
    <row r="78" spans="1:15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O78">
        <f t="shared" si="1"/>
        <v>1</v>
      </c>
    </row>
    <row r="79" spans="1:15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O79">
        <f t="shared" si="1"/>
        <v>1</v>
      </c>
    </row>
    <row r="80" spans="1:15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O80">
        <f t="shared" si="1"/>
        <v>1</v>
      </c>
    </row>
    <row r="81" spans="1:15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O81">
        <f t="shared" si="1"/>
        <v>1</v>
      </c>
    </row>
    <row r="82" spans="1:15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O82">
        <f t="shared" si="1"/>
        <v>1</v>
      </c>
    </row>
    <row r="83" spans="1:15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O83">
        <f t="shared" si="1"/>
        <v>1</v>
      </c>
    </row>
    <row r="84" spans="1:15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O84">
        <f t="shared" si="1"/>
        <v>1</v>
      </c>
    </row>
    <row r="85" spans="1:15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O85">
        <f t="shared" si="1"/>
        <v>1</v>
      </c>
    </row>
    <row r="86" spans="1:15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O86">
        <f t="shared" si="1"/>
        <v>1</v>
      </c>
    </row>
    <row r="87" spans="1:15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O87">
        <f t="shared" si="1"/>
        <v>1</v>
      </c>
    </row>
    <row r="88" spans="1:15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O88">
        <f t="shared" si="1"/>
        <v>1</v>
      </c>
    </row>
    <row r="89" spans="1:15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O89">
        <f t="shared" si="1"/>
        <v>1</v>
      </c>
    </row>
    <row r="90" spans="1:15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O90">
        <f t="shared" si="1"/>
        <v>1</v>
      </c>
    </row>
    <row r="91" spans="1:15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O91">
        <f t="shared" si="1"/>
        <v>1</v>
      </c>
    </row>
    <row r="92" spans="1:15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O92">
        <f t="shared" si="1"/>
        <v>1</v>
      </c>
    </row>
    <row r="93" spans="1:15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O93">
        <f t="shared" si="1"/>
        <v>1</v>
      </c>
    </row>
    <row r="94" spans="1:15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O94">
        <f t="shared" si="1"/>
        <v>1</v>
      </c>
    </row>
    <row r="95" spans="1:15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O95">
        <f t="shared" si="1"/>
        <v>1</v>
      </c>
    </row>
    <row r="96" spans="1:15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O96">
        <f t="shared" si="1"/>
        <v>1</v>
      </c>
    </row>
    <row r="97" spans="1:15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O97">
        <f t="shared" si="1"/>
        <v>1</v>
      </c>
    </row>
    <row r="98" spans="1:15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O98">
        <f t="shared" si="1"/>
        <v>1</v>
      </c>
    </row>
    <row r="99" spans="1:15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O99">
        <f t="shared" si="1"/>
        <v>1</v>
      </c>
    </row>
    <row r="100" spans="1:15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O100">
        <f t="shared" si="1"/>
        <v>1</v>
      </c>
    </row>
    <row r="101" spans="1:15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O101">
        <f t="shared" si="1"/>
        <v>1</v>
      </c>
    </row>
    <row r="102" spans="1:15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O102">
        <f t="shared" si="1"/>
        <v>1</v>
      </c>
    </row>
    <row r="103" spans="1:15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O103">
        <f t="shared" si="1"/>
        <v>1</v>
      </c>
    </row>
    <row r="104" spans="1:15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O104">
        <f t="shared" si="1"/>
        <v>1</v>
      </c>
    </row>
    <row r="105" spans="1:15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O105">
        <f t="shared" si="1"/>
        <v>1</v>
      </c>
    </row>
    <row r="106" spans="1:15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O106">
        <f t="shared" si="1"/>
        <v>1</v>
      </c>
    </row>
    <row r="107" spans="1:15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O107">
        <f t="shared" si="1"/>
        <v>1</v>
      </c>
    </row>
    <row r="108" spans="1:15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O108">
        <f t="shared" si="1"/>
        <v>1</v>
      </c>
    </row>
    <row r="109" spans="1:15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O109">
        <f t="shared" si="1"/>
        <v>1</v>
      </c>
    </row>
    <row r="110" spans="1:15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O110">
        <f t="shared" si="1"/>
        <v>1</v>
      </c>
    </row>
    <row r="111" spans="1:15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O111">
        <f t="shared" si="1"/>
        <v>1</v>
      </c>
    </row>
    <row r="112" spans="1:15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O112">
        <f t="shared" si="1"/>
        <v>1</v>
      </c>
    </row>
    <row r="113" spans="1:15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O113">
        <f t="shared" si="1"/>
        <v>1</v>
      </c>
    </row>
    <row r="114" spans="1:15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O114">
        <f t="shared" si="1"/>
        <v>1</v>
      </c>
    </row>
    <row r="115" spans="1:15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O115">
        <f t="shared" si="1"/>
        <v>1</v>
      </c>
    </row>
    <row r="116" spans="1:15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O116">
        <f t="shared" si="1"/>
        <v>1</v>
      </c>
    </row>
    <row r="117" spans="1:15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O117">
        <f t="shared" si="1"/>
        <v>1</v>
      </c>
    </row>
    <row r="118" spans="1:15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O118">
        <f t="shared" si="1"/>
        <v>1</v>
      </c>
    </row>
    <row r="119" spans="1:15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O119">
        <f t="shared" si="1"/>
        <v>1</v>
      </c>
    </row>
    <row r="120" spans="1:15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O120">
        <f t="shared" si="1"/>
        <v>1</v>
      </c>
    </row>
    <row r="121" spans="1:15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O121">
        <f t="shared" si="1"/>
        <v>1</v>
      </c>
    </row>
    <row r="122" spans="1:15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O122">
        <f t="shared" si="1"/>
        <v>1</v>
      </c>
    </row>
    <row r="123" spans="1:15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O123">
        <f t="shared" si="1"/>
        <v>1</v>
      </c>
    </row>
    <row r="124" spans="1:15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O124">
        <f t="shared" si="1"/>
        <v>1</v>
      </c>
    </row>
    <row r="125" spans="1:15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  <c r="O125">
        <f t="shared" si="1"/>
        <v>1</v>
      </c>
    </row>
    <row r="126" spans="1:15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O126">
        <f t="shared" si="1"/>
        <v>1</v>
      </c>
    </row>
    <row r="127" spans="1:15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O127">
        <f t="shared" si="1"/>
        <v>1</v>
      </c>
    </row>
    <row r="128" spans="1:15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O128">
        <f t="shared" si="1"/>
        <v>1</v>
      </c>
    </row>
    <row r="129" spans="1:15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O129">
        <f t="shared" si="1"/>
        <v>1</v>
      </c>
    </row>
    <row r="130" spans="1:15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O130">
        <f t="shared" si="1"/>
        <v>1</v>
      </c>
    </row>
    <row r="131" spans="1:15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O131">
        <f t="shared" ref="O131:O194" si="2">COUNTIF($A:$A,A131)</f>
        <v>1</v>
      </c>
    </row>
    <row r="132" spans="1:15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O132">
        <f t="shared" si="2"/>
        <v>1</v>
      </c>
    </row>
    <row r="133" spans="1:15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O133">
        <f t="shared" si="2"/>
        <v>1</v>
      </c>
    </row>
    <row r="134" spans="1:15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O134">
        <f t="shared" si="2"/>
        <v>1</v>
      </c>
    </row>
    <row r="135" spans="1:15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O135">
        <f t="shared" si="2"/>
        <v>1</v>
      </c>
    </row>
    <row r="136" spans="1:15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O136">
        <f t="shared" si="2"/>
        <v>1</v>
      </c>
    </row>
    <row r="137" spans="1:15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O137">
        <f t="shared" si="2"/>
        <v>1</v>
      </c>
    </row>
    <row r="138" spans="1:15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O138">
        <f t="shared" si="2"/>
        <v>1</v>
      </c>
    </row>
    <row r="139" spans="1:15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O139">
        <f t="shared" si="2"/>
        <v>1</v>
      </c>
    </row>
    <row r="140" spans="1:15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O140">
        <f t="shared" si="2"/>
        <v>1</v>
      </c>
    </row>
    <row r="141" spans="1:15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O141">
        <f t="shared" si="2"/>
        <v>1</v>
      </c>
    </row>
    <row r="142" spans="1:15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O142">
        <f t="shared" si="2"/>
        <v>1</v>
      </c>
    </row>
    <row r="143" spans="1:15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O143">
        <f t="shared" si="2"/>
        <v>1</v>
      </c>
    </row>
    <row r="144" spans="1:15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O144">
        <f t="shared" si="2"/>
        <v>1</v>
      </c>
    </row>
    <row r="145" spans="1:15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O145">
        <f t="shared" si="2"/>
        <v>1</v>
      </c>
    </row>
    <row r="146" spans="1:15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O146">
        <f t="shared" si="2"/>
        <v>1</v>
      </c>
    </row>
    <row r="147" spans="1:15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O147">
        <f t="shared" si="2"/>
        <v>1</v>
      </c>
    </row>
    <row r="148" spans="1:15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O148">
        <f t="shared" si="2"/>
        <v>1</v>
      </c>
    </row>
    <row r="149" spans="1:15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O149">
        <f t="shared" si="2"/>
        <v>1</v>
      </c>
    </row>
    <row r="150" spans="1:15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O150">
        <f t="shared" si="2"/>
        <v>1</v>
      </c>
    </row>
    <row r="151" spans="1:15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O151">
        <f t="shared" si="2"/>
        <v>1</v>
      </c>
    </row>
    <row r="152" spans="1:15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O152">
        <f t="shared" si="2"/>
        <v>1</v>
      </c>
    </row>
    <row r="153" spans="1:15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O153">
        <f t="shared" si="2"/>
        <v>1</v>
      </c>
    </row>
    <row r="154" spans="1:15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O154">
        <f t="shared" si="2"/>
        <v>1</v>
      </c>
    </row>
    <row r="155" spans="1:15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O155">
        <f t="shared" si="2"/>
        <v>1</v>
      </c>
    </row>
    <row r="156" spans="1:15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O156">
        <f t="shared" si="2"/>
        <v>1</v>
      </c>
    </row>
    <row r="157" spans="1:15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O157">
        <f t="shared" si="2"/>
        <v>1</v>
      </c>
    </row>
    <row r="158" spans="1:15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O158">
        <f t="shared" si="2"/>
        <v>1</v>
      </c>
    </row>
    <row r="159" spans="1:15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O159">
        <f t="shared" si="2"/>
        <v>1</v>
      </c>
    </row>
    <row r="160" spans="1:15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O160">
        <f t="shared" si="2"/>
        <v>1</v>
      </c>
    </row>
    <row r="161" spans="1:15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O161">
        <f t="shared" si="2"/>
        <v>1</v>
      </c>
    </row>
    <row r="162" spans="1:15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O162">
        <f t="shared" si="2"/>
        <v>1</v>
      </c>
    </row>
    <row r="163" spans="1:15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O163">
        <f t="shared" si="2"/>
        <v>1</v>
      </c>
    </row>
    <row r="164" spans="1:15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O164">
        <f t="shared" si="2"/>
        <v>1</v>
      </c>
    </row>
    <row r="165" spans="1:15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O165">
        <f t="shared" si="2"/>
        <v>1</v>
      </c>
    </row>
    <row r="166" spans="1:15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O166">
        <f t="shared" si="2"/>
        <v>1</v>
      </c>
    </row>
    <row r="167" spans="1:15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O167">
        <f t="shared" si="2"/>
        <v>1</v>
      </c>
    </row>
    <row r="168" spans="1:15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O168">
        <f t="shared" si="2"/>
        <v>1</v>
      </c>
    </row>
    <row r="169" spans="1:15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O169">
        <f t="shared" si="2"/>
        <v>1</v>
      </c>
    </row>
    <row r="170" spans="1:15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O170">
        <f t="shared" si="2"/>
        <v>1</v>
      </c>
    </row>
    <row r="171" spans="1:15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O171">
        <f t="shared" si="2"/>
        <v>1</v>
      </c>
    </row>
    <row r="172" spans="1:15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O172">
        <f t="shared" si="2"/>
        <v>1</v>
      </c>
    </row>
    <row r="173" spans="1:15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O173">
        <f t="shared" si="2"/>
        <v>1</v>
      </c>
    </row>
    <row r="174" spans="1:15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O174">
        <f t="shared" si="2"/>
        <v>1</v>
      </c>
    </row>
    <row r="175" spans="1:15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O175">
        <f t="shared" si="2"/>
        <v>1</v>
      </c>
    </row>
    <row r="176" spans="1:15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O176">
        <f t="shared" si="2"/>
        <v>1</v>
      </c>
    </row>
    <row r="177" spans="1:15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O177">
        <f t="shared" si="2"/>
        <v>1</v>
      </c>
    </row>
    <row r="178" spans="1:15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O178">
        <f t="shared" si="2"/>
        <v>1</v>
      </c>
    </row>
    <row r="179" spans="1:15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O179">
        <f t="shared" si="2"/>
        <v>1</v>
      </c>
    </row>
    <row r="180" spans="1:15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O180">
        <f t="shared" si="2"/>
        <v>1</v>
      </c>
    </row>
    <row r="181" spans="1:15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O181">
        <f t="shared" si="2"/>
        <v>1</v>
      </c>
    </row>
    <row r="182" spans="1:15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O182">
        <f t="shared" si="2"/>
        <v>1</v>
      </c>
    </row>
    <row r="183" spans="1:15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O183">
        <f t="shared" si="2"/>
        <v>1</v>
      </c>
    </row>
    <row r="184" spans="1:15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O184">
        <f t="shared" si="2"/>
        <v>1</v>
      </c>
    </row>
    <row r="185" spans="1:15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O185">
        <f t="shared" si="2"/>
        <v>1</v>
      </c>
    </row>
    <row r="186" spans="1:15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O186">
        <f t="shared" si="2"/>
        <v>1</v>
      </c>
    </row>
    <row r="187" spans="1:15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O187">
        <f t="shared" si="2"/>
        <v>1</v>
      </c>
    </row>
    <row r="188" spans="1:15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O188">
        <f t="shared" si="2"/>
        <v>1</v>
      </c>
    </row>
    <row r="189" spans="1:15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O189">
        <f t="shared" si="2"/>
        <v>1</v>
      </c>
    </row>
    <row r="190" spans="1:15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O190">
        <f t="shared" si="2"/>
        <v>1</v>
      </c>
    </row>
    <row r="191" spans="1:15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O191">
        <f t="shared" si="2"/>
        <v>1</v>
      </c>
    </row>
    <row r="192" spans="1:15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O192">
        <f t="shared" si="2"/>
        <v>1</v>
      </c>
    </row>
    <row r="193" spans="1:15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O193">
        <f t="shared" si="2"/>
        <v>1</v>
      </c>
    </row>
    <row r="194" spans="1:15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O194">
        <f t="shared" si="2"/>
        <v>1</v>
      </c>
    </row>
    <row r="195" spans="1:15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O195">
        <f t="shared" ref="O195:O258" si="3">COUNTIF($A:$A,A195)</f>
        <v>1</v>
      </c>
    </row>
    <row r="196" spans="1:15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O196">
        <f t="shared" si="3"/>
        <v>1</v>
      </c>
    </row>
    <row r="197" spans="1:15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O197">
        <f t="shared" si="3"/>
        <v>1</v>
      </c>
    </row>
    <row r="198" spans="1:15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O198">
        <f t="shared" si="3"/>
        <v>1</v>
      </c>
    </row>
    <row r="199" spans="1:15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O199">
        <f t="shared" si="3"/>
        <v>1</v>
      </c>
    </row>
    <row r="200" spans="1:15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O200">
        <f t="shared" si="3"/>
        <v>1</v>
      </c>
    </row>
    <row r="201" spans="1:15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O201">
        <f t="shared" si="3"/>
        <v>1</v>
      </c>
    </row>
    <row r="202" spans="1:15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O202">
        <f t="shared" si="3"/>
        <v>1</v>
      </c>
    </row>
    <row r="203" spans="1:15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O203">
        <f t="shared" si="3"/>
        <v>1</v>
      </c>
    </row>
    <row r="204" spans="1:15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O204">
        <f t="shared" si="3"/>
        <v>1</v>
      </c>
    </row>
    <row r="205" spans="1:15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O205">
        <f t="shared" si="3"/>
        <v>1</v>
      </c>
    </row>
    <row r="206" spans="1:15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O206">
        <f t="shared" si="3"/>
        <v>1</v>
      </c>
    </row>
    <row r="207" spans="1:15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O207">
        <f t="shared" si="3"/>
        <v>1</v>
      </c>
    </row>
    <row r="208" spans="1:15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O208">
        <f t="shared" si="3"/>
        <v>1</v>
      </c>
    </row>
    <row r="209" spans="1:15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O209">
        <f t="shared" si="3"/>
        <v>1</v>
      </c>
    </row>
    <row r="210" spans="1:15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O210">
        <f t="shared" si="3"/>
        <v>1</v>
      </c>
    </row>
    <row r="211" spans="1:15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O211">
        <f t="shared" si="3"/>
        <v>1</v>
      </c>
    </row>
    <row r="212" spans="1:15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O212">
        <f t="shared" si="3"/>
        <v>1</v>
      </c>
    </row>
    <row r="213" spans="1:15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O213">
        <f t="shared" si="3"/>
        <v>1</v>
      </c>
    </row>
    <row r="214" spans="1:15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O214">
        <f t="shared" si="3"/>
        <v>1</v>
      </c>
    </row>
    <row r="215" spans="1:15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O215">
        <f t="shared" si="3"/>
        <v>1</v>
      </c>
    </row>
    <row r="216" spans="1:15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O216">
        <f t="shared" si="3"/>
        <v>1</v>
      </c>
    </row>
    <row r="217" spans="1:15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O217">
        <f t="shared" si="3"/>
        <v>1</v>
      </c>
    </row>
    <row r="218" spans="1:15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O218">
        <f t="shared" si="3"/>
        <v>1</v>
      </c>
    </row>
    <row r="219" spans="1:15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O219">
        <f t="shared" si="3"/>
        <v>1</v>
      </c>
    </row>
    <row r="220" spans="1:15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O220">
        <f t="shared" si="3"/>
        <v>1</v>
      </c>
    </row>
    <row r="221" spans="1:15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O221">
        <f t="shared" si="3"/>
        <v>1</v>
      </c>
    </row>
    <row r="222" spans="1:15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O222">
        <f t="shared" si="3"/>
        <v>1</v>
      </c>
    </row>
    <row r="223" spans="1:15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O223">
        <f t="shared" si="3"/>
        <v>1</v>
      </c>
    </row>
    <row r="224" spans="1:15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O224">
        <f t="shared" si="3"/>
        <v>1</v>
      </c>
    </row>
    <row r="225" spans="1:15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O225">
        <f t="shared" si="3"/>
        <v>1</v>
      </c>
    </row>
    <row r="226" spans="1:15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O226">
        <f t="shared" si="3"/>
        <v>1</v>
      </c>
    </row>
    <row r="227" spans="1:15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O227">
        <f t="shared" si="3"/>
        <v>1</v>
      </c>
    </row>
    <row r="228" spans="1:15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O228">
        <f t="shared" si="3"/>
        <v>1</v>
      </c>
    </row>
    <row r="229" spans="1:15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O229">
        <f t="shared" si="3"/>
        <v>1</v>
      </c>
    </row>
    <row r="230" spans="1:15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O230">
        <f t="shared" si="3"/>
        <v>1</v>
      </c>
    </row>
    <row r="231" spans="1:15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O231">
        <f t="shared" si="3"/>
        <v>1</v>
      </c>
    </row>
    <row r="232" spans="1:15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O232">
        <f t="shared" si="3"/>
        <v>1</v>
      </c>
    </row>
    <row r="233" spans="1:15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O233">
        <f t="shared" si="3"/>
        <v>1</v>
      </c>
    </row>
    <row r="234" spans="1:15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O234">
        <f t="shared" si="3"/>
        <v>1</v>
      </c>
    </row>
    <row r="235" spans="1:15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O235">
        <f t="shared" si="3"/>
        <v>1</v>
      </c>
    </row>
    <row r="236" spans="1:15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O236">
        <f t="shared" si="3"/>
        <v>1</v>
      </c>
    </row>
    <row r="237" spans="1:15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O237">
        <f t="shared" si="3"/>
        <v>1</v>
      </c>
    </row>
    <row r="238" spans="1:15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O238">
        <f t="shared" si="3"/>
        <v>1</v>
      </c>
    </row>
    <row r="239" spans="1:15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O239">
        <f t="shared" si="3"/>
        <v>1</v>
      </c>
    </row>
    <row r="240" spans="1:15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O240">
        <f t="shared" si="3"/>
        <v>1</v>
      </c>
    </row>
    <row r="241" spans="1:15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O241">
        <f t="shared" si="3"/>
        <v>1</v>
      </c>
    </row>
    <row r="242" spans="1:15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O242">
        <f t="shared" si="3"/>
        <v>1</v>
      </c>
    </row>
    <row r="243" spans="1:15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O243">
        <f t="shared" si="3"/>
        <v>1</v>
      </c>
    </row>
    <row r="244" spans="1:15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O244">
        <f t="shared" si="3"/>
        <v>1</v>
      </c>
    </row>
    <row r="245" spans="1:15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O245">
        <f t="shared" si="3"/>
        <v>1</v>
      </c>
    </row>
    <row r="246" spans="1:15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O246">
        <f t="shared" si="3"/>
        <v>1</v>
      </c>
    </row>
    <row r="247" spans="1:15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O247">
        <f t="shared" si="3"/>
        <v>1</v>
      </c>
    </row>
    <row r="248" spans="1:15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O248">
        <f t="shared" si="3"/>
        <v>1</v>
      </c>
    </row>
    <row r="249" spans="1:15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O249">
        <f t="shared" si="3"/>
        <v>1</v>
      </c>
    </row>
    <row r="250" spans="1:15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O250">
        <f t="shared" si="3"/>
        <v>1</v>
      </c>
    </row>
    <row r="251" spans="1:15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O251">
        <f t="shared" si="3"/>
        <v>1</v>
      </c>
    </row>
    <row r="252" spans="1:15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O252">
        <f t="shared" si="3"/>
        <v>1</v>
      </c>
    </row>
    <row r="253" spans="1:15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O253">
        <f t="shared" si="3"/>
        <v>1</v>
      </c>
    </row>
    <row r="254" spans="1:15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O254">
        <f t="shared" si="3"/>
        <v>1</v>
      </c>
    </row>
    <row r="255" spans="1:15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O255">
        <f t="shared" si="3"/>
        <v>1</v>
      </c>
    </row>
    <row r="256" spans="1:15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  <c r="O256">
        <f t="shared" si="3"/>
        <v>1</v>
      </c>
    </row>
    <row r="257" spans="1:15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O257">
        <f t="shared" si="3"/>
        <v>1</v>
      </c>
    </row>
    <row r="258" spans="1:15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O258">
        <f t="shared" si="3"/>
        <v>1</v>
      </c>
    </row>
    <row r="259" spans="1:15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O259">
        <f t="shared" ref="O259:O322" si="4">COUNTIF($A:$A,A259)</f>
        <v>1</v>
      </c>
    </row>
    <row r="260" spans="1:15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O260">
        <f t="shared" si="4"/>
        <v>1</v>
      </c>
    </row>
    <row r="261" spans="1:15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O261">
        <f t="shared" si="4"/>
        <v>1</v>
      </c>
    </row>
    <row r="262" spans="1:15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O262">
        <f t="shared" si="4"/>
        <v>1</v>
      </c>
    </row>
    <row r="263" spans="1:15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O263">
        <f t="shared" si="4"/>
        <v>1</v>
      </c>
    </row>
    <row r="264" spans="1:15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O264">
        <f t="shared" si="4"/>
        <v>1</v>
      </c>
    </row>
    <row r="265" spans="1:15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O265">
        <f t="shared" si="4"/>
        <v>1</v>
      </c>
    </row>
    <row r="266" spans="1:15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O266">
        <f t="shared" si="4"/>
        <v>1</v>
      </c>
    </row>
    <row r="267" spans="1:15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O267">
        <f t="shared" si="4"/>
        <v>1</v>
      </c>
    </row>
    <row r="268" spans="1:15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O268">
        <f t="shared" si="4"/>
        <v>1</v>
      </c>
    </row>
    <row r="269" spans="1:15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O269">
        <f t="shared" si="4"/>
        <v>1</v>
      </c>
    </row>
    <row r="270" spans="1:15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O270">
        <f t="shared" si="4"/>
        <v>1</v>
      </c>
    </row>
    <row r="271" spans="1:15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O271">
        <f t="shared" si="4"/>
        <v>1</v>
      </c>
    </row>
    <row r="272" spans="1:15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O272">
        <f t="shared" si="4"/>
        <v>1</v>
      </c>
    </row>
    <row r="273" spans="1:15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O273">
        <f t="shared" si="4"/>
        <v>1</v>
      </c>
    </row>
    <row r="274" spans="1:15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O274">
        <f t="shared" si="4"/>
        <v>1</v>
      </c>
    </row>
    <row r="275" spans="1:15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O275">
        <f t="shared" si="4"/>
        <v>1</v>
      </c>
    </row>
    <row r="276" spans="1:15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O276">
        <f t="shared" si="4"/>
        <v>1</v>
      </c>
    </row>
    <row r="277" spans="1:15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O277">
        <f t="shared" si="4"/>
        <v>1</v>
      </c>
    </row>
    <row r="278" spans="1:15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O278">
        <f t="shared" si="4"/>
        <v>1</v>
      </c>
    </row>
    <row r="279" spans="1:15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O279">
        <f t="shared" si="4"/>
        <v>1</v>
      </c>
    </row>
    <row r="280" spans="1:15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O280">
        <f t="shared" si="4"/>
        <v>1</v>
      </c>
    </row>
    <row r="281" spans="1:15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O281">
        <f t="shared" si="4"/>
        <v>1</v>
      </c>
    </row>
    <row r="282" spans="1:15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O282">
        <f t="shared" si="4"/>
        <v>1</v>
      </c>
    </row>
    <row r="283" spans="1:15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O283">
        <f t="shared" si="4"/>
        <v>1</v>
      </c>
    </row>
    <row r="284" spans="1:15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O284">
        <f t="shared" si="4"/>
        <v>1</v>
      </c>
    </row>
    <row r="285" spans="1:15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O285">
        <f t="shared" si="4"/>
        <v>1</v>
      </c>
    </row>
    <row r="286" spans="1:15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O286">
        <f t="shared" si="4"/>
        <v>1</v>
      </c>
    </row>
    <row r="287" spans="1:15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O287">
        <f t="shared" si="4"/>
        <v>1</v>
      </c>
    </row>
    <row r="288" spans="1:15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O288">
        <f t="shared" si="4"/>
        <v>1</v>
      </c>
    </row>
    <row r="289" spans="1:15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O289">
        <f t="shared" si="4"/>
        <v>1</v>
      </c>
    </row>
    <row r="290" spans="1:15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O290">
        <f t="shared" si="4"/>
        <v>1</v>
      </c>
    </row>
    <row r="291" spans="1:15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O291">
        <f t="shared" si="4"/>
        <v>1</v>
      </c>
    </row>
    <row r="292" spans="1:15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O292">
        <f t="shared" si="4"/>
        <v>1</v>
      </c>
    </row>
    <row r="293" spans="1:15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O293">
        <f t="shared" si="4"/>
        <v>1</v>
      </c>
    </row>
    <row r="294" spans="1:15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O294">
        <f t="shared" si="4"/>
        <v>1</v>
      </c>
    </row>
    <row r="295" spans="1:15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O295">
        <f t="shared" si="4"/>
        <v>1</v>
      </c>
    </row>
    <row r="296" spans="1:15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O296">
        <f t="shared" si="4"/>
        <v>1</v>
      </c>
    </row>
    <row r="297" spans="1:15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O297">
        <f t="shared" si="4"/>
        <v>1</v>
      </c>
    </row>
    <row r="298" spans="1:15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O298">
        <f t="shared" si="4"/>
        <v>1</v>
      </c>
    </row>
    <row r="299" spans="1:15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O299">
        <f t="shared" si="4"/>
        <v>1</v>
      </c>
    </row>
    <row r="300" spans="1:15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O300">
        <f t="shared" si="4"/>
        <v>1</v>
      </c>
    </row>
    <row r="301" spans="1:15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O301">
        <f t="shared" si="4"/>
        <v>1</v>
      </c>
    </row>
    <row r="302" spans="1:15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O302">
        <f t="shared" si="4"/>
        <v>1</v>
      </c>
    </row>
    <row r="303" spans="1:15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O303">
        <f t="shared" si="4"/>
        <v>1</v>
      </c>
    </row>
    <row r="304" spans="1:15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O304">
        <f t="shared" si="4"/>
        <v>1</v>
      </c>
    </row>
    <row r="305" spans="1:15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O305">
        <f t="shared" si="4"/>
        <v>1</v>
      </c>
    </row>
    <row r="306" spans="1:15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O306">
        <f t="shared" si="4"/>
        <v>1</v>
      </c>
    </row>
    <row r="307" spans="1:15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O307">
        <f t="shared" si="4"/>
        <v>1</v>
      </c>
    </row>
    <row r="308" spans="1:15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O308">
        <f t="shared" si="4"/>
        <v>1</v>
      </c>
    </row>
    <row r="309" spans="1:15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O309">
        <f t="shared" si="4"/>
        <v>1</v>
      </c>
    </row>
    <row r="310" spans="1:15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O310">
        <f t="shared" si="4"/>
        <v>1</v>
      </c>
    </row>
    <row r="311" spans="1:15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O311">
        <f t="shared" si="4"/>
        <v>1</v>
      </c>
    </row>
    <row r="312" spans="1:15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  <c r="O312">
        <f t="shared" si="4"/>
        <v>1</v>
      </c>
    </row>
    <row r="313" spans="1:15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O313">
        <f t="shared" si="4"/>
        <v>1</v>
      </c>
    </row>
    <row r="314" spans="1:15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O314">
        <f t="shared" si="4"/>
        <v>1</v>
      </c>
    </row>
    <row r="315" spans="1:15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O315">
        <f t="shared" si="4"/>
        <v>1</v>
      </c>
    </row>
    <row r="316" spans="1:15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O316">
        <f t="shared" si="4"/>
        <v>1</v>
      </c>
    </row>
    <row r="317" spans="1:15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O317">
        <f t="shared" si="4"/>
        <v>1</v>
      </c>
    </row>
    <row r="318" spans="1:15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O318">
        <f t="shared" si="4"/>
        <v>1</v>
      </c>
    </row>
    <row r="319" spans="1:15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O319">
        <f t="shared" si="4"/>
        <v>1</v>
      </c>
    </row>
    <row r="320" spans="1:15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O320">
        <f t="shared" si="4"/>
        <v>1</v>
      </c>
    </row>
    <row r="321" spans="1:15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O321">
        <f t="shared" si="4"/>
        <v>1</v>
      </c>
    </row>
    <row r="322" spans="1:15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O322">
        <f t="shared" si="4"/>
        <v>1</v>
      </c>
    </row>
    <row r="323" spans="1:15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O323">
        <f t="shared" ref="O323:O386" si="5">COUNTIF($A:$A,A323)</f>
        <v>1</v>
      </c>
    </row>
    <row r="324" spans="1:15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O324">
        <f t="shared" si="5"/>
        <v>1</v>
      </c>
    </row>
    <row r="325" spans="1:15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O325">
        <f t="shared" si="5"/>
        <v>1</v>
      </c>
    </row>
    <row r="326" spans="1:15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O326">
        <f t="shared" si="5"/>
        <v>1</v>
      </c>
    </row>
    <row r="327" spans="1:15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O327">
        <f t="shared" si="5"/>
        <v>1</v>
      </c>
    </row>
    <row r="328" spans="1:15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O328">
        <f t="shared" si="5"/>
        <v>1</v>
      </c>
    </row>
    <row r="329" spans="1:15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O329">
        <f t="shared" si="5"/>
        <v>1</v>
      </c>
    </row>
    <row r="330" spans="1:15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O330">
        <f t="shared" si="5"/>
        <v>1</v>
      </c>
    </row>
    <row r="331" spans="1:15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O331">
        <f t="shared" si="5"/>
        <v>1</v>
      </c>
    </row>
    <row r="332" spans="1:15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O332">
        <f t="shared" si="5"/>
        <v>1</v>
      </c>
    </row>
    <row r="333" spans="1:15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O333">
        <f t="shared" si="5"/>
        <v>1</v>
      </c>
    </row>
    <row r="334" spans="1:15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O334">
        <f t="shared" si="5"/>
        <v>1</v>
      </c>
    </row>
    <row r="335" spans="1:15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O335">
        <f t="shared" si="5"/>
        <v>1</v>
      </c>
    </row>
    <row r="336" spans="1:15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O336">
        <f t="shared" si="5"/>
        <v>1</v>
      </c>
    </row>
    <row r="337" spans="1:15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O337">
        <f t="shared" si="5"/>
        <v>1</v>
      </c>
    </row>
    <row r="338" spans="1:15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O338">
        <f t="shared" si="5"/>
        <v>1</v>
      </c>
    </row>
    <row r="339" spans="1:15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O339">
        <f t="shared" si="5"/>
        <v>1</v>
      </c>
    </row>
    <row r="340" spans="1:15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O340">
        <f t="shared" si="5"/>
        <v>1</v>
      </c>
    </row>
    <row r="341" spans="1:15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O341">
        <f t="shared" si="5"/>
        <v>1</v>
      </c>
    </row>
    <row r="342" spans="1:15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O342">
        <f t="shared" si="5"/>
        <v>1</v>
      </c>
    </row>
    <row r="343" spans="1:15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O343">
        <f t="shared" si="5"/>
        <v>1</v>
      </c>
    </row>
    <row r="344" spans="1:15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O344">
        <f t="shared" si="5"/>
        <v>1</v>
      </c>
    </row>
    <row r="345" spans="1:15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O345">
        <f t="shared" si="5"/>
        <v>1</v>
      </c>
    </row>
    <row r="346" spans="1:15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O346">
        <f t="shared" si="5"/>
        <v>1</v>
      </c>
    </row>
    <row r="347" spans="1:15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O347">
        <f t="shared" si="5"/>
        <v>1</v>
      </c>
    </row>
    <row r="348" spans="1:15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O348">
        <f t="shared" si="5"/>
        <v>1</v>
      </c>
    </row>
    <row r="349" spans="1:15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O349">
        <f t="shared" si="5"/>
        <v>1</v>
      </c>
    </row>
    <row r="350" spans="1:15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O350">
        <f t="shared" si="5"/>
        <v>1</v>
      </c>
    </row>
    <row r="351" spans="1:15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O351">
        <f t="shared" si="5"/>
        <v>1</v>
      </c>
    </row>
    <row r="352" spans="1:15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O352">
        <f t="shared" si="5"/>
        <v>1</v>
      </c>
    </row>
    <row r="353" spans="1:15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O353">
        <f t="shared" si="5"/>
        <v>1</v>
      </c>
    </row>
    <row r="354" spans="1:15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O354">
        <f t="shared" si="5"/>
        <v>1</v>
      </c>
    </row>
    <row r="355" spans="1:15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O355">
        <f t="shared" si="5"/>
        <v>1</v>
      </c>
    </row>
    <row r="356" spans="1:15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O356">
        <f t="shared" si="5"/>
        <v>1</v>
      </c>
    </row>
    <row r="357" spans="1:15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O357">
        <f t="shared" si="5"/>
        <v>1</v>
      </c>
    </row>
    <row r="358" spans="1:15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O358">
        <f t="shared" si="5"/>
        <v>1</v>
      </c>
    </row>
    <row r="359" spans="1:15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O359">
        <f t="shared" si="5"/>
        <v>1</v>
      </c>
    </row>
    <row r="360" spans="1:15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O360">
        <f t="shared" si="5"/>
        <v>1</v>
      </c>
    </row>
    <row r="361" spans="1:15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O361">
        <f t="shared" si="5"/>
        <v>1</v>
      </c>
    </row>
    <row r="362" spans="1:15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O362">
        <f t="shared" si="5"/>
        <v>1</v>
      </c>
    </row>
    <row r="363" spans="1:15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O363">
        <f t="shared" si="5"/>
        <v>1</v>
      </c>
    </row>
    <row r="364" spans="1:15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O364">
        <f t="shared" si="5"/>
        <v>1</v>
      </c>
    </row>
    <row r="365" spans="1:15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O365">
        <f t="shared" si="5"/>
        <v>1</v>
      </c>
    </row>
    <row r="366" spans="1:15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O366">
        <f t="shared" si="5"/>
        <v>1</v>
      </c>
    </row>
    <row r="367" spans="1:15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O367">
        <f t="shared" si="5"/>
        <v>1</v>
      </c>
    </row>
    <row r="368" spans="1:15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O368">
        <f t="shared" si="5"/>
        <v>1</v>
      </c>
    </row>
    <row r="369" spans="1:15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O369">
        <f t="shared" si="5"/>
        <v>1</v>
      </c>
    </row>
    <row r="370" spans="1:15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O370">
        <f t="shared" si="5"/>
        <v>1</v>
      </c>
    </row>
    <row r="371" spans="1:15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O371">
        <f t="shared" si="5"/>
        <v>1</v>
      </c>
    </row>
    <row r="372" spans="1:15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O372">
        <f t="shared" si="5"/>
        <v>1</v>
      </c>
    </row>
    <row r="373" spans="1:15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O373">
        <f t="shared" si="5"/>
        <v>1</v>
      </c>
    </row>
    <row r="374" spans="1:15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O374">
        <f t="shared" si="5"/>
        <v>1</v>
      </c>
    </row>
    <row r="375" spans="1:15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O375">
        <f t="shared" si="5"/>
        <v>1</v>
      </c>
    </row>
    <row r="376" spans="1:15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O376">
        <f t="shared" si="5"/>
        <v>1</v>
      </c>
    </row>
    <row r="377" spans="1:15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O377">
        <f t="shared" si="5"/>
        <v>1</v>
      </c>
    </row>
    <row r="378" spans="1:15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O378">
        <f t="shared" si="5"/>
        <v>1</v>
      </c>
    </row>
    <row r="379" spans="1:15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O379">
        <f t="shared" si="5"/>
        <v>1</v>
      </c>
    </row>
    <row r="380" spans="1:15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O380">
        <f t="shared" si="5"/>
        <v>1</v>
      </c>
    </row>
    <row r="381" spans="1:15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O381">
        <f t="shared" si="5"/>
        <v>1</v>
      </c>
    </row>
    <row r="382" spans="1:15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O382">
        <f t="shared" si="5"/>
        <v>1</v>
      </c>
    </row>
    <row r="383" spans="1:15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O383">
        <f t="shared" si="5"/>
        <v>1</v>
      </c>
    </row>
    <row r="384" spans="1:15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O384">
        <f t="shared" si="5"/>
        <v>1</v>
      </c>
    </row>
    <row r="385" spans="1:15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O385">
        <f t="shared" si="5"/>
        <v>1</v>
      </c>
    </row>
    <row r="386" spans="1:15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O386">
        <f t="shared" si="5"/>
        <v>1</v>
      </c>
    </row>
    <row r="387" spans="1:15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O387">
        <f t="shared" ref="O387:O450" si="6">COUNTIF($A:$A,A387)</f>
        <v>1</v>
      </c>
    </row>
    <row r="388" spans="1:15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O388">
        <f t="shared" si="6"/>
        <v>1</v>
      </c>
    </row>
    <row r="389" spans="1:15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O389">
        <f t="shared" si="6"/>
        <v>1</v>
      </c>
    </row>
    <row r="390" spans="1:15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O390">
        <f t="shared" si="6"/>
        <v>1</v>
      </c>
    </row>
    <row r="391" spans="1:15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O391">
        <f t="shared" si="6"/>
        <v>1</v>
      </c>
    </row>
    <row r="392" spans="1:15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O392">
        <f t="shared" si="6"/>
        <v>1</v>
      </c>
    </row>
    <row r="393" spans="1:15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O393">
        <f t="shared" si="6"/>
        <v>1</v>
      </c>
    </row>
    <row r="394" spans="1:15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O394">
        <f t="shared" si="6"/>
        <v>1</v>
      </c>
    </row>
    <row r="395" spans="1:15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O395">
        <f t="shared" si="6"/>
        <v>1</v>
      </c>
    </row>
    <row r="396" spans="1:15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O396">
        <f t="shared" si="6"/>
        <v>1</v>
      </c>
    </row>
    <row r="397" spans="1:15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O397">
        <f t="shared" si="6"/>
        <v>1</v>
      </c>
    </row>
    <row r="398" spans="1:15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O398">
        <f t="shared" si="6"/>
        <v>1</v>
      </c>
    </row>
    <row r="399" spans="1:15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O399">
        <f t="shared" si="6"/>
        <v>1</v>
      </c>
    </row>
    <row r="400" spans="1:15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O400">
        <f t="shared" si="6"/>
        <v>1</v>
      </c>
    </row>
    <row r="401" spans="1:15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O401">
        <f t="shared" si="6"/>
        <v>1</v>
      </c>
    </row>
    <row r="402" spans="1:15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O402">
        <f t="shared" si="6"/>
        <v>1</v>
      </c>
    </row>
    <row r="403" spans="1:15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O403">
        <f t="shared" si="6"/>
        <v>1</v>
      </c>
    </row>
    <row r="404" spans="1:15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O404">
        <f t="shared" si="6"/>
        <v>1</v>
      </c>
    </row>
    <row r="405" spans="1:15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O405">
        <f t="shared" si="6"/>
        <v>1</v>
      </c>
    </row>
    <row r="406" spans="1:15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O406">
        <f t="shared" si="6"/>
        <v>1</v>
      </c>
    </row>
    <row r="407" spans="1:15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O407">
        <f t="shared" si="6"/>
        <v>1</v>
      </c>
    </row>
    <row r="408" spans="1:15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O408">
        <f t="shared" si="6"/>
        <v>1</v>
      </c>
    </row>
    <row r="409" spans="1:15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O409">
        <f t="shared" si="6"/>
        <v>1</v>
      </c>
    </row>
    <row r="410" spans="1:15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O410">
        <f t="shared" si="6"/>
        <v>1</v>
      </c>
    </row>
    <row r="411" spans="1:15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O411">
        <f t="shared" si="6"/>
        <v>1</v>
      </c>
    </row>
    <row r="412" spans="1:15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O412">
        <f t="shared" si="6"/>
        <v>1</v>
      </c>
    </row>
    <row r="413" spans="1:15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O413">
        <f t="shared" si="6"/>
        <v>1</v>
      </c>
    </row>
    <row r="414" spans="1:15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O414">
        <f t="shared" si="6"/>
        <v>1</v>
      </c>
    </row>
    <row r="415" spans="1:15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O415">
        <f t="shared" si="6"/>
        <v>1</v>
      </c>
    </row>
    <row r="416" spans="1:15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O416">
        <f t="shared" si="6"/>
        <v>1</v>
      </c>
    </row>
    <row r="417" spans="1:15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O417">
        <f t="shared" si="6"/>
        <v>1</v>
      </c>
    </row>
    <row r="418" spans="1:15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O418">
        <f t="shared" si="6"/>
        <v>1</v>
      </c>
    </row>
    <row r="419" spans="1:15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O419">
        <f t="shared" si="6"/>
        <v>1</v>
      </c>
    </row>
    <row r="420" spans="1:15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O420">
        <f t="shared" si="6"/>
        <v>1</v>
      </c>
    </row>
    <row r="421" spans="1:15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O421">
        <f t="shared" si="6"/>
        <v>1</v>
      </c>
    </row>
    <row r="422" spans="1:15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O422">
        <f t="shared" si="6"/>
        <v>1</v>
      </c>
    </row>
    <row r="423" spans="1:15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O423">
        <f t="shared" si="6"/>
        <v>1</v>
      </c>
    </row>
    <row r="424" spans="1:15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O424">
        <f t="shared" si="6"/>
        <v>1</v>
      </c>
    </row>
    <row r="425" spans="1:15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O425">
        <f t="shared" si="6"/>
        <v>1</v>
      </c>
    </row>
    <row r="426" spans="1:15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O426">
        <f t="shared" si="6"/>
        <v>1</v>
      </c>
    </row>
    <row r="427" spans="1:15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O427">
        <f t="shared" si="6"/>
        <v>1</v>
      </c>
    </row>
    <row r="428" spans="1:15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O428">
        <f t="shared" si="6"/>
        <v>1</v>
      </c>
    </row>
    <row r="429" spans="1:15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O429">
        <f t="shared" si="6"/>
        <v>1</v>
      </c>
    </row>
    <row r="430" spans="1:15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O430">
        <f t="shared" si="6"/>
        <v>1</v>
      </c>
    </row>
    <row r="431" spans="1:15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O431">
        <f t="shared" si="6"/>
        <v>1</v>
      </c>
    </row>
    <row r="432" spans="1:15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O432">
        <f t="shared" si="6"/>
        <v>1</v>
      </c>
    </row>
    <row r="433" spans="1:15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O433">
        <f t="shared" si="6"/>
        <v>1</v>
      </c>
    </row>
    <row r="434" spans="1:15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O434">
        <f t="shared" si="6"/>
        <v>1</v>
      </c>
    </row>
    <row r="435" spans="1:15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O435">
        <f t="shared" si="6"/>
        <v>1</v>
      </c>
    </row>
    <row r="436" spans="1:15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O436">
        <f t="shared" si="6"/>
        <v>1</v>
      </c>
    </row>
    <row r="437" spans="1:15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O437">
        <f t="shared" si="6"/>
        <v>1</v>
      </c>
    </row>
    <row r="438" spans="1:15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O438">
        <f t="shared" si="6"/>
        <v>1</v>
      </c>
    </row>
    <row r="439" spans="1:15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O439">
        <f t="shared" si="6"/>
        <v>1</v>
      </c>
    </row>
    <row r="440" spans="1:15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O440">
        <f t="shared" si="6"/>
        <v>1</v>
      </c>
    </row>
    <row r="441" spans="1:15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O441">
        <f t="shared" si="6"/>
        <v>1</v>
      </c>
    </row>
    <row r="442" spans="1:15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O442">
        <f t="shared" si="6"/>
        <v>1</v>
      </c>
    </row>
    <row r="443" spans="1:15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O443">
        <f t="shared" si="6"/>
        <v>1</v>
      </c>
    </row>
    <row r="444" spans="1:15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O444">
        <f t="shared" si="6"/>
        <v>1</v>
      </c>
    </row>
    <row r="445" spans="1:15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O445">
        <f t="shared" si="6"/>
        <v>1</v>
      </c>
    </row>
    <row r="446" spans="1:15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O446">
        <f t="shared" si="6"/>
        <v>1</v>
      </c>
    </row>
    <row r="447" spans="1:15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O447">
        <f t="shared" si="6"/>
        <v>1</v>
      </c>
    </row>
    <row r="448" spans="1:15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O448">
        <f t="shared" si="6"/>
        <v>1</v>
      </c>
    </row>
    <row r="449" spans="1:15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O449">
        <f t="shared" si="6"/>
        <v>1</v>
      </c>
    </row>
    <row r="450" spans="1:15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O450">
        <f t="shared" si="6"/>
        <v>1</v>
      </c>
    </row>
    <row r="451" spans="1:15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  <c r="O451">
        <f t="shared" ref="O451:O514" si="7">COUNTIF($A:$A,A451)</f>
        <v>1</v>
      </c>
    </row>
    <row r="452" spans="1:15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O452">
        <f t="shared" si="7"/>
        <v>1</v>
      </c>
    </row>
    <row r="453" spans="1:15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O453">
        <f t="shared" si="7"/>
        <v>1</v>
      </c>
    </row>
    <row r="454" spans="1:15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O454">
        <f t="shared" si="7"/>
        <v>1</v>
      </c>
    </row>
    <row r="455" spans="1:15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O455">
        <f t="shared" si="7"/>
        <v>1</v>
      </c>
    </row>
    <row r="456" spans="1:15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O456">
        <f t="shared" si="7"/>
        <v>1</v>
      </c>
    </row>
    <row r="457" spans="1:15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O457">
        <f t="shared" si="7"/>
        <v>1</v>
      </c>
    </row>
    <row r="458" spans="1:15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O458">
        <f t="shared" si="7"/>
        <v>1</v>
      </c>
    </row>
    <row r="459" spans="1:15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O459">
        <f t="shared" si="7"/>
        <v>1</v>
      </c>
    </row>
    <row r="460" spans="1:15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O460">
        <f t="shared" si="7"/>
        <v>1</v>
      </c>
    </row>
    <row r="461" spans="1:15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O461">
        <f t="shared" si="7"/>
        <v>1</v>
      </c>
    </row>
    <row r="462" spans="1:15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O462">
        <f t="shared" si="7"/>
        <v>1</v>
      </c>
    </row>
    <row r="463" spans="1:15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O463">
        <f t="shared" si="7"/>
        <v>1</v>
      </c>
    </row>
    <row r="464" spans="1:15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O464">
        <f t="shared" si="7"/>
        <v>1</v>
      </c>
    </row>
    <row r="465" spans="1:15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O465">
        <f t="shared" si="7"/>
        <v>1</v>
      </c>
    </row>
    <row r="466" spans="1:15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O466">
        <f t="shared" si="7"/>
        <v>1</v>
      </c>
    </row>
    <row r="467" spans="1:15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O467">
        <f t="shared" si="7"/>
        <v>1</v>
      </c>
    </row>
    <row r="468" spans="1:15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O468">
        <f t="shared" si="7"/>
        <v>1</v>
      </c>
    </row>
    <row r="469" spans="1:15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O469">
        <f t="shared" si="7"/>
        <v>1</v>
      </c>
    </row>
    <row r="470" spans="1:15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O470">
        <f t="shared" si="7"/>
        <v>1</v>
      </c>
    </row>
    <row r="471" spans="1:15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O471">
        <f t="shared" si="7"/>
        <v>1</v>
      </c>
    </row>
    <row r="472" spans="1:15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O472">
        <f t="shared" si="7"/>
        <v>1</v>
      </c>
    </row>
    <row r="473" spans="1:15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O473">
        <f t="shared" si="7"/>
        <v>1</v>
      </c>
    </row>
    <row r="474" spans="1:15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O474">
        <f t="shared" si="7"/>
        <v>1</v>
      </c>
    </row>
    <row r="475" spans="1:15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O475">
        <f t="shared" si="7"/>
        <v>1</v>
      </c>
    </row>
    <row r="476" spans="1:15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O476">
        <f t="shared" si="7"/>
        <v>1</v>
      </c>
    </row>
    <row r="477" spans="1:15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O477">
        <f t="shared" si="7"/>
        <v>1</v>
      </c>
    </row>
    <row r="478" spans="1:15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O478">
        <f t="shared" si="7"/>
        <v>1</v>
      </c>
    </row>
    <row r="479" spans="1:15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O479">
        <f t="shared" si="7"/>
        <v>1</v>
      </c>
    </row>
    <row r="480" spans="1:15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O480">
        <f t="shared" si="7"/>
        <v>1</v>
      </c>
    </row>
    <row r="481" spans="1:15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O481">
        <f t="shared" si="7"/>
        <v>1</v>
      </c>
    </row>
    <row r="482" spans="1:15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O482">
        <f t="shared" si="7"/>
        <v>1</v>
      </c>
    </row>
    <row r="483" spans="1:15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O483">
        <f t="shared" si="7"/>
        <v>1</v>
      </c>
    </row>
    <row r="484" spans="1:15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O484">
        <f t="shared" si="7"/>
        <v>1</v>
      </c>
    </row>
    <row r="485" spans="1:15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O485">
        <f t="shared" si="7"/>
        <v>1</v>
      </c>
    </row>
    <row r="486" spans="1:15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O486">
        <f t="shared" si="7"/>
        <v>1</v>
      </c>
    </row>
    <row r="487" spans="1:15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O487">
        <f t="shared" si="7"/>
        <v>1</v>
      </c>
    </row>
    <row r="488" spans="1:15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O488">
        <f t="shared" si="7"/>
        <v>1</v>
      </c>
    </row>
    <row r="489" spans="1:15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O489">
        <f t="shared" si="7"/>
        <v>1</v>
      </c>
    </row>
    <row r="490" spans="1:15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O490">
        <f t="shared" si="7"/>
        <v>1</v>
      </c>
    </row>
    <row r="491" spans="1:15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O491">
        <f t="shared" si="7"/>
        <v>1</v>
      </c>
    </row>
    <row r="492" spans="1:15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O492">
        <f t="shared" si="7"/>
        <v>1</v>
      </c>
    </row>
    <row r="493" spans="1:15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O493">
        <f t="shared" si="7"/>
        <v>1</v>
      </c>
    </row>
    <row r="494" spans="1:15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O494">
        <f t="shared" si="7"/>
        <v>1</v>
      </c>
    </row>
    <row r="495" spans="1:15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O495">
        <f t="shared" si="7"/>
        <v>1</v>
      </c>
    </row>
    <row r="496" spans="1:15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O496">
        <f t="shared" si="7"/>
        <v>1</v>
      </c>
    </row>
    <row r="497" spans="1:15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O497">
        <f t="shared" si="7"/>
        <v>1</v>
      </c>
    </row>
    <row r="498" spans="1:15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O498">
        <f t="shared" si="7"/>
        <v>1</v>
      </c>
    </row>
    <row r="499" spans="1:15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O499">
        <f t="shared" si="7"/>
        <v>1</v>
      </c>
    </row>
    <row r="500" spans="1:15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O500">
        <f t="shared" si="7"/>
        <v>1</v>
      </c>
    </row>
    <row r="501" spans="1:15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O501">
        <f t="shared" si="7"/>
        <v>1</v>
      </c>
    </row>
    <row r="502" spans="1:15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O502">
        <f t="shared" si="7"/>
        <v>1</v>
      </c>
    </row>
    <row r="503" spans="1:15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O503">
        <f t="shared" si="7"/>
        <v>1</v>
      </c>
    </row>
    <row r="504" spans="1:15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O504">
        <f t="shared" si="7"/>
        <v>1</v>
      </c>
    </row>
    <row r="505" spans="1:15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O505">
        <f t="shared" si="7"/>
        <v>1</v>
      </c>
    </row>
    <row r="506" spans="1:15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O506">
        <f t="shared" si="7"/>
        <v>1</v>
      </c>
    </row>
    <row r="507" spans="1:15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O507">
        <f t="shared" si="7"/>
        <v>1</v>
      </c>
    </row>
    <row r="508" spans="1:15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O508">
        <f t="shared" si="7"/>
        <v>1</v>
      </c>
    </row>
    <row r="509" spans="1:15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O509">
        <f t="shared" si="7"/>
        <v>1</v>
      </c>
    </row>
    <row r="510" spans="1:15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O510">
        <f t="shared" si="7"/>
        <v>1</v>
      </c>
    </row>
    <row r="511" spans="1:15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O511">
        <f t="shared" si="7"/>
        <v>1</v>
      </c>
    </row>
    <row r="512" spans="1:15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O512">
        <f t="shared" si="7"/>
        <v>1</v>
      </c>
    </row>
    <row r="513" spans="1:15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O513">
        <f t="shared" si="7"/>
        <v>1</v>
      </c>
    </row>
    <row r="514" spans="1:15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O514">
        <f t="shared" si="7"/>
        <v>1</v>
      </c>
    </row>
    <row r="515" spans="1:15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O515">
        <f t="shared" ref="O515:O578" si="8">COUNTIF($A:$A,A515)</f>
        <v>1</v>
      </c>
    </row>
    <row r="516" spans="1:15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O516">
        <f t="shared" si="8"/>
        <v>1</v>
      </c>
    </row>
    <row r="517" spans="1:15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O517">
        <f t="shared" si="8"/>
        <v>1</v>
      </c>
    </row>
    <row r="518" spans="1:15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O518">
        <f t="shared" si="8"/>
        <v>1</v>
      </c>
    </row>
    <row r="519" spans="1:15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O519">
        <f t="shared" si="8"/>
        <v>1</v>
      </c>
    </row>
    <row r="520" spans="1:15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O520">
        <f t="shared" si="8"/>
        <v>1</v>
      </c>
    </row>
    <row r="521" spans="1:15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O521">
        <f t="shared" si="8"/>
        <v>1</v>
      </c>
    </row>
    <row r="522" spans="1:15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O522">
        <f t="shared" si="8"/>
        <v>1</v>
      </c>
    </row>
    <row r="523" spans="1:15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O523">
        <f t="shared" si="8"/>
        <v>1</v>
      </c>
    </row>
    <row r="524" spans="1:15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O524">
        <f t="shared" si="8"/>
        <v>1</v>
      </c>
    </row>
    <row r="525" spans="1:15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O525">
        <f t="shared" si="8"/>
        <v>1</v>
      </c>
    </row>
    <row r="526" spans="1:15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O526">
        <f t="shared" si="8"/>
        <v>1</v>
      </c>
    </row>
    <row r="527" spans="1:15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O527">
        <f t="shared" si="8"/>
        <v>1</v>
      </c>
    </row>
    <row r="528" spans="1:15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O528">
        <f t="shared" si="8"/>
        <v>1</v>
      </c>
    </row>
    <row r="529" spans="1:15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O529">
        <f t="shared" si="8"/>
        <v>1</v>
      </c>
    </row>
    <row r="530" spans="1:15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O530">
        <f t="shared" si="8"/>
        <v>1</v>
      </c>
    </row>
    <row r="531" spans="1:15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O531">
        <f t="shared" si="8"/>
        <v>1</v>
      </c>
    </row>
    <row r="532" spans="1:15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O532">
        <f t="shared" si="8"/>
        <v>1</v>
      </c>
    </row>
    <row r="533" spans="1:15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O533">
        <f t="shared" si="8"/>
        <v>1</v>
      </c>
    </row>
    <row r="534" spans="1:15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O534">
        <f t="shared" si="8"/>
        <v>1</v>
      </c>
    </row>
    <row r="535" spans="1:15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O535">
        <f t="shared" si="8"/>
        <v>1</v>
      </c>
    </row>
    <row r="536" spans="1:15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O536">
        <f t="shared" si="8"/>
        <v>1</v>
      </c>
    </row>
    <row r="537" spans="1:15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O537">
        <f t="shared" si="8"/>
        <v>1</v>
      </c>
    </row>
    <row r="538" spans="1:15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O538">
        <f t="shared" si="8"/>
        <v>1</v>
      </c>
    </row>
    <row r="539" spans="1:15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O539">
        <f t="shared" si="8"/>
        <v>1</v>
      </c>
    </row>
    <row r="540" spans="1:15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O540">
        <f t="shared" si="8"/>
        <v>1</v>
      </c>
    </row>
    <row r="541" spans="1:15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O541">
        <f t="shared" si="8"/>
        <v>1</v>
      </c>
    </row>
    <row r="542" spans="1:15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O542">
        <f t="shared" si="8"/>
        <v>1</v>
      </c>
    </row>
    <row r="543" spans="1:15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O543">
        <f t="shared" si="8"/>
        <v>1</v>
      </c>
    </row>
    <row r="544" spans="1:15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O544">
        <f t="shared" si="8"/>
        <v>1</v>
      </c>
    </row>
    <row r="545" spans="1:15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O545">
        <f t="shared" si="8"/>
        <v>1</v>
      </c>
    </row>
    <row r="546" spans="1:15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O546">
        <f t="shared" si="8"/>
        <v>1</v>
      </c>
    </row>
    <row r="547" spans="1:15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O547">
        <f t="shared" si="8"/>
        <v>1</v>
      </c>
    </row>
    <row r="548" spans="1:15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O548">
        <f t="shared" si="8"/>
        <v>1</v>
      </c>
    </row>
    <row r="549" spans="1:15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O549">
        <f t="shared" si="8"/>
        <v>1</v>
      </c>
    </row>
    <row r="550" spans="1:15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O550">
        <f t="shared" si="8"/>
        <v>1</v>
      </c>
    </row>
    <row r="551" spans="1:15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O551">
        <f t="shared" si="8"/>
        <v>1</v>
      </c>
    </row>
    <row r="552" spans="1:15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O552">
        <f t="shared" si="8"/>
        <v>1</v>
      </c>
    </row>
    <row r="553" spans="1:15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O553">
        <f t="shared" si="8"/>
        <v>1</v>
      </c>
    </row>
    <row r="554" spans="1:15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O554">
        <f t="shared" si="8"/>
        <v>1</v>
      </c>
    </row>
    <row r="555" spans="1:15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O555">
        <f t="shared" si="8"/>
        <v>1</v>
      </c>
    </row>
    <row r="556" spans="1:15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O556">
        <f t="shared" si="8"/>
        <v>1</v>
      </c>
    </row>
    <row r="557" spans="1:15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O557">
        <f t="shared" si="8"/>
        <v>1</v>
      </c>
    </row>
    <row r="558" spans="1:15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O558">
        <f t="shared" si="8"/>
        <v>1</v>
      </c>
    </row>
    <row r="559" spans="1:15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O559">
        <f t="shared" si="8"/>
        <v>1</v>
      </c>
    </row>
    <row r="560" spans="1:15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O560">
        <f t="shared" si="8"/>
        <v>1</v>
      </c>
    </row>
    <row r="561" spans="1:15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O561">
        <f t="shared" si="8"/>
        <v>1</v>
      </c>
    </row>
    <row r="562" spans="1:15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O562">
        <f t="shared" si="8"/>
        <v>1</v>
      </c>
    </row>
    <row r="563" spans="1:15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O563">
        <f t="shared" si="8"/>
        <v>1</v>
      </c>
    </row>
    <row r="564" spans="1:15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O564">
        <f t="shared" si="8"/>
        <v>1</v>
      </c>
    </row>
    <row r="565" spans="1:15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O565">
        <f t="shared" si="8"/>
        <v>1</v>
      </c>
    </row>
    <row r="566" spans="1:15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O566">
        <f t="shared" si="8"/>
        <v>1</v>
      </c>
    </row>
    <row r="567" spans="1:15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O567">
        <f t="shared" si="8"/>
        <v>1</v>
      </c>
    </row>
    <row r="568" spans="1:15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O568">
        <f t="shared" si="8"/>
        <v>1</v>
      </c>
    </row>
    <row r="569" spans="1:15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O569">
        <f t="shared" si="8"/>
        <v>1</v>
      </c>
    </row>
    <row r="570" spans="1:15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O570">
        <f t="shared" si="8"/>
        <v>1</v>
      </c>
    </row>
    <row r="571" spans="1:15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O571">
        <f t="shared" si="8"/>
        <v>1</v>
      </c>
    </row>
    <row r="572" spans="1:15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O572">
        <f t="shared" si="8"/>
        <v>1</v>
      </c>
    </row>
    <row r="573" spans="1:15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O573">
        <f t="shared" si="8"/>
        <v>1</v>
      </c>
    </row>
    <row r="574" spans="1:15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O574">
        <f t="shared" si="8"/>
        <v>1</v>
      </c>
    </row>
    <row r="575" spans="1:15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O575">
        <f t="shared" si="8"/>
        <v>1</v>
      </c>
    </row>
    <row r="576" spans="1:15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O576">
        <f t="shared" si="8"/>
        <v>1</v>
      </c>
    </row>
    <row r="577" spans="1:15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O577">
        <f t="shared" si="8"/>
        <v>1</v>
      </c>
    </row>
    <row r="578" spans="1:15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O578">
        <f t="shared" si="8"/>
        <v>1</v>
      </c>
    </row>
    <row r="579" spans="1:15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O579">
        <f t="shared" ref="O579:O642" si="9">COUNTIF($A:$A,A579)</f>
        <v>1</v>
      </c>
    </row>
    <row r="580" spans="1:15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O580">
        <f t="shared" si="9"/>
        <v>1</v>
      </c>
    </row>
    <row r="581" spans="1:15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O581">
        <f t="shared" si="9"/>
        <v>1</v>
      </c>
    </row>
    <row r="582" spans="1:15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O582">
        <f t="shared" si="9"/>
        <v>1</v>
      </c>
    </row>
    <row r="583" spans="1:15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O583">
        <f t="shared" si="9"/>
        <v>1</v>
      </c>
    </row>
    <row r="584" spans="1:15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O584">
        <f t="shared" si="9"/>
        <v>1</v>
      </c>
    </row>
    <row r="585" spans="1:15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O585">
        <f t="shared" si="9"/>
        <v>1</v>
      </c>
    </row>
    <row r="586" spans="1:15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O586">
        <f t="shared" si="9"/>
        <v>1</v>
      </c>
    </row>
    <row r="587" spans="1:15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O587">
        <f t="shared" si="9"/>
        <v>1</v>
      </c>
    </row>
    <row r="588" spans="1:15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O588">
        <f t="shared" si="9"/>
        <v>1</v>
      </c>
    </row>
    <row r="589" spans="1:15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O589">
        <f t="shared" si="9"/>
        <v>1</v>
      </c>
    </row>
    <row r="590" spans="1:15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O590">
        <f t="shared" si="9"/>
        <v>1</v>
      </c>
    </row>
    <row r="591" spans="1:15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O591">
        <f t="shared" si="9"/>
        <v>1</v>
      </c>
    </row>
    <row r="592" spans="1:15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O592">
        <f t="shared" si="9"/>
        <v>1</v>
      </c>
    </row>
    <row r="593" spans="1:15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O593">
        <f t="shared" si="9"/>
        <v>1</v>
      </c>
    </row>
    <row r="594" spans="1:15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  <c r="O594">
        <f t="shared" si="9"/>
        <v>1</v>
      </c>
    </row>
    <row r="595" spans="1:15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O595">
        <f t="shared" si="9"/>
        <v>1</v>
      </c>
    </row>
    <row r="596" spans="1:15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O596">
        <f t="shared" si="9"/>
        <v>1</v>
      </c>
    </row>
    <row r="597" spans="1:15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O597">
        <f t="shared" si="9"/>
        <v>1</v>
      </c>
    </row>
    <row r="598" spans="1:15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O598">
        <f t="shared" si="9"/>
        <v>1</v>
      </c>
    </row>
    <row r="599" spans="1:15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O599">
        <f t="shared" si="9"/>
        <v>1</v>
      </c>
    </row>
    <row r="600" spans="1:15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O600">
        <f t="shared" si="9"/>
        <v>1</v>
      </c>
    </row>
    <row r="601" spans="1:15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O601">
        <f t="shared" si="9"/>
        <v>1</v>
      </c>
    </row>
    <row r="602" spans="1:15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O602">
        <f t="shared" si="9"/>
        <v>1</v>
      </c>
    </row>
    <row r="603" spans="1:15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O603">
        <f t="shared" si="9"/>
        <v>1</v>
      </c>
    </row>
    <row r="604" spans="1:15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O604">
        <f t="shared" si="9"/>
        <v>1</v>
      </c>
    </row>
    <row r="605" spans="1:15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O605">
        <f t="shared" si="9"/>
        <v>1</v>
      </c>
    </row>
    <row r="606" spans="1:15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  <c r="O606">
        <f t="shared" si="9"/>
        <v>1</v>
      </c>
    </row>
    <row r="607" spans="1:15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O607">
        <f t="shared" si="9"/>
        <v>1</v>
      </c>
    </row>
    <row r="608" spans="1:15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O608">
        <f t="shared" si="9"/>
        <v>1</v>
      </c>
    </row>
    <row r="609" spans="1:15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O609">
        <f t="shared" si="9"/>
        <v>1</v>
      </c>
    </row>
    <row r="610" spans="1:15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O610">
        <f t="shared" si="9"/>
        <v>1</v>
      </c>
    </row>
    <row r="611" spans="1:15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O611">
        <f t="shared" si="9"/>
        <v>1</v>
      </c>
    </row>
    <row r="612" spans="1:15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O612">
        <f t="shared" si="9"/>
        <v>1</v>
      </c>
    </row>
    <row r="613" spans="1:15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O613">
        <f t="shared" si="9"/>
        <v>1</v>
      </c>
    </row>
    <row r="614" spans="1:15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O614">
        <f t="shared" si="9"/>
        <v>1</v>
      </c>
    </row>
    <row r="615" spans="1:15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O615">
        <f t="shared" si="9"/>
        <v>1</v>
      </c>
    </row>
    <row r="616" spans="1:15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O616">
        <f t="shared" si="9"/>
        <v>1</v>
      </c>
    </row>
    <row r="617" spans="1:15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O617">
        <f t="shared" si="9"/>
        <v>1</v>
      </c>
    </row>
    <row r="618" spans="1:15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O618">
        <f t="shared" si="9"/>
        <v>1</v>
      </c>
    </row>
    <row r="619" spans="1:15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O619">
        <f t="shared" si="9"/>
        <v>1</v>
      </c>
    </row>
    <row r="620" spans="1:15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O620">
        <f t="shared" si="9"/>
        <v>1</v>
      </c>
    </row>
    <row r="621" spans="1:15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O621">
        <f t="shared" si="9"/>
        <v>1</v>
      </c>
    </row>
    <row r="622" spans="1:15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O622">
        <f t="shared" si="9"/>
        <v>1</v>
      </c>
    </row>
    <row r="623" spans="1:15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O623">
        <f t="shared" si="9"/>
        <v>1</v>
      </c>
    </row>
    <row r="624" spans="1:15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O624">
        <f t="shared" si="9"/>
        <v>1</v>
      </c>
    </row>
    <row r="625" spans="1:15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O625">
        <f t="shared" si="9"/>
        <v>1</v>
      </c>
    </row>
    <row r="626" spans="1:15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O626">
        <f t="shared" si="9"/>
        <v>1</v>
      </c>
    </row>
    <row r="627" spans="1:15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O627">
        <f t="shared" si="9"/>
        <v>1</v>
      </c>
    </row>
    <row r="628" spans="1:15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O628">
        <f t="shared" si="9"/>
        <v>1</v>
      </c>
    </row>
    <row r="629" spans="1:15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O629">
        <f t="shared" si="9"/>
        <v>1</v>
      </c>
    </row>
    <row r="630" spans="1:15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O630">
        <f t="shared" si="9"/>
        <v>1</v>
      </c>
    </row>
    <row r="631" spans="1:15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O631">
        <f t="shared" si="9"/>
        <v>1</v>
      </c>
    </row>
    <row r="632" spans="1:15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O632">
        <f t="shared" si="9"/>
        <v>1</v>
      </c>
    </row>
    <row r="633" spans="1:15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O633">
        <f t="shared" si="9"/>
        <v>1</v>
      </c>
    </row>
    <row r="634" spans="1:15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O634">
        <f t="shared" si="9"/>
        <v>1</v>
      </c>
    </row>
    <row r="635" spans="1:15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O635">
        <f t="shared" si="9"/>
        <v>1</v>
      </c>
    </row>
    <row r="636" spans="1:15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O636">
        <f t="shared" si="9"/>
        <v>1</v>
      </c>
    </row>
    <row r="637" spans="1:15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O637">
        <f t="shared" si="9"/>
        <v>1</v>
      </c>
    </row>
    <row r="638" spans="1:15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O638">
        <f t="shared" si="9"/>
        <v>1</v>
      </c>
    </row>
    <row r="639" spans="1:15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O639">
        <f t="shared" si="9"/>
        <v>1</v>
      </c>
    </row>
    <row r="640" spans="1:15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O640">
        <f t="shared" si="9"/>
        <v>1</v>
      </c>
    </row>
    <row r="641" spans="1:15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O641">
        <f t="shared" si="9"/>
        <v>1</v>
      </c>
    </row>
    <row r="642" spans="1:15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O642">
        <f t="shared" si="9"/>
        <v>1</v>
      </c>
    </row>
    <row r="643" spans="1:15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O643">
        <f t="shared" ref="O643:O706" si="10">COUNTIF($A:$A,A643)</f>
        <v>1</v>
      </c>
    </row>
    <row r="644" spans="1:15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O644">
        <f t="shared" si="10"/>
        <v>1</v>
      </c>
    </row>
    <row r="645" spans="1:15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O645">
        <f t="shared" si="10"/>
        <v>1</v>
      </c>
    </row>
    <row r="646" spans="1:15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O646">
        <f t="shared" si="10"/>
        <v>1</v>
      </c>
    </row>
    <row r="647" spans="1:15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O647">
        <f t="shared" si="10"/>
        <v>1</v>
      </c>
    </row>
    <row r="648" spans="1:15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O648">
        <f t="shared" si="10"/>
        <v>1</v>
      </c>
    </row>
    <row r="649" spans="1:15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O649">
        <f t="shared" si="10"/>
        <v>1</v>
      </c>
    </row>
    <row r="650" spans="1:15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O650">
        <f t="shared" si="10"/>
        <v>1</v>
      </c>
    </row>
    <row r="651" spans="1:15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O651">
        <f t="shared" si="10"/>
        <v>1</v>
      </c>
    </row>
    <row r="652" spans="1:15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O652">
        <f t="shared" si="10"/>
        <v>1</v>
      </c>
    </row>
    <row r="653" spans="1:15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O653">
        <f t="shared" si="10"/>
        <v>1</v>
      </c>
    </row>
    <row r="654" spans="1:15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O654">
        <f t="shared" si="10"/>
        <v>1</v>
      </c>
    </row>
    <row r="655" spans="1:15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O655">
        <f t="shared" si="10"/>
        <v>1</v>
      </c>
    </row>
    <row r="656" spans="1:15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O656">
        <f t="shared" si="10"/>
        <v>1</v>
      </c>
    </row>
    <row r="657" spans="1:15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O657">
        <f t="shared" si="10"/>
        <v>1</v>
      </c>
    </row>
    <row r="658" spans="1:15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O658">
        <f t="shared" si="10"/>
        <v>1</v>
      </c>
    </row>
    <row r="659" spans="1:15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O659">
        <f t="shared" si="10"/>
        <v>1</v>
      </c>
    </row>
    <row r="660" spans="1:15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O660">
        <f t="shared" si="10"/>
        <v>1</v>
      </c>
    </row>
    <row r="661" spans="1:15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O661">
        <f t="shared" si="10"/>
        <v>1</v>
      </c>
    </row>
    <row r="662" spans="1:15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O662">
        <f t="shared" si="10"/>
        <v>1</v>
      </c>
    </row>
    <row r="663" spans="1:15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O663">
        <f t="shared" si="10"/>
        <v>1</v>
      </c>
    </row>
    <row r="664" spans="1:15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O664">
        <f t="shared" si="10"/>
        <v>1</v>
      </c>
    </row>
    <row r="665" spans="1:15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O665">
        <f t="shared" si="10"/>
        <v>1</v>
      </c>
    </row>
    <row r="666" spans="1:15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O666">
        <f t="shared" si="10"/>
        <v>1</v>
      </c>
    </row>
    <row r="667" spans="1:15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O667">
        <f t="shared" si="10"/>
        <v>1</v>
      </c>
    </row>
    <row r="668" spans="1:15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O668">
        <f t="shared" si="10"/>
        <v>1</v>
      </c>
    </row>
    <row r="669" spans="1:15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O669">
        <f t="shared" si="10"/>
        <v>1</v>
      </c>
    </row>
    <row r="670" spans="1:15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O670">
        <f t="shared" si="10"/>
        <v>1</v>
      </c>
    </row>
    <row r="671" spans="1:15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O671">
        <f t="shared" si="10"/>
        <v>1</v>
      </c>
    </row>
    <row r="672" spans="1:15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O672">
        <f t="shared" si="10"/>
        <v>1</v>
      </c>
    </row>
    <row r="673" spans="1:15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O673">
        <f t="shared" si="10"/>
        <v>1</v>
      </c>
    </row>
    <row r="674" spans="1:15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O674">
        <f t="shared" si="10"/>
        <v>1</v>
      </c>
    </row>
    <row r="675" spans="1:15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O675">
        <f t="shared" si="10"/>
        <v>1</v>
      </c>
    </row>
    <row r="676" spans="1:15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O676">
        <f t="shared" si="10"/>
        <v>1</v>
      </c>
    </row>
    <row r="677" spans="1:15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O677">
        <f t="shared" si="10"/>
        <v>1</v>
      </c>
    </row>
    <row r="678" spans="1:15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O678">
        <f t="shared" si="10"/>
        <v>1</v>
      </c>
    </row>
    <row r="679" spans="1:15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O679">
        <f t="shared" si="10"/>
        <v>1</v>
      </c>
    </row>
    <row r="680" spans="1:15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O680">
        <f t="shared" si="10"/>
        <v>1</v>
      </c>
    </row>
    <row r="681" spans="1:15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O681">
        <f t="shared" si="10"/>
        <v>1</v>
      </c>
    </row>
    <row r="682" spans="1:15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O682">
        <f t="shared" si="10"/>
        <v>1</v>
      </c>
    </row>
    <row r="683" spans="1:15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O683">
        <f t="shared" si="10"/>
        <v>1</v>
      </c>
    </row>
    <row r="684" spans="1:15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O684">
        <f t="shared" si="10"/>
        <v>1</v>
      </c>
    </row>
    <row r="685" spans="1:15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O685">
        <f t="shared" si="10"/>
        <v>1</v>
      </c>
    </row>
    <row r="686" spans="1:15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O686">
        <f t="shared" si="10"/>
        <v>1</v>
      </c>
    </row>
    <row r="687" spans="1:15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O687">
        <f t="shared" si="10"/>
        <v>1</v>
      </c>
    </row>
    <row r="688" spans="1:15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O688">
        <f t="shared" si="10"/>
        <v>1</v>
      </c>
    </row>
    <row r="689" spans="1:15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O689">
        <f t="shared" si="10"/>
        <v>1</v>
      </c>
    </row>
    <row r="690" spans="1:15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O690">
        <f t="shared" si="10"/>
        <v>1</v>
      </c>
    </row>
    <row r="691" spans="1:15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O691">
        <f t="shared" si="10"/>
        <v>1</v>
      </c>
    </row>
    <row r="692" spans="1:15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O692">
        <f t="shared" si="10"/>
        <v>1</v>
      </c>
    </row>
    <row r="693" spans="1:15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O693">
        <f t="shared" si="10"/>
        <v>1</v>
      </c>
    </row>
    <row r="694" spans="1:15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O694">
        <f t="shared" si="10"/>
        <v>1</v>
      </c>
    </row>
    <row r="695" spans="1:15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O695">
        <f t="shared" si="10"/>
        <v>1</v>
      </c>
    </row>
    <row r="696" spans="1:15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O696">
        <f t="shared" si="10"/>
        <v>1</v>
      </c>
    </row>
    <row r="697" spans="1:15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O697">
        <f t="shared" si="10"/>
        <v>1</v>
      </c>
    </row>
    <row r="698" spans="1:15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O698">
        <f t="shared" si="10"/>
        <v>1</v>
      </c>
    </row>
    <row r="699" spans="1:15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O699">
        <f t="shared" si="10"/>
        <v>1</v>
      </c>
    </row>
    <row r="700" spans="1:15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O700">
        <f t="shared" si="10"/>
        <v>1</v>
      </c>
    </row>
    <row r="701" spans="1:15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O701">
        <f t="shared" si="10"/>
        <v>1</v>
      </c>
    </row>
    <row r="702" spans="1:15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O702">
        <f t="shared" si="10"/>
        <v>1</v>
      </c>
    </row>
    <row r="703" spans="1:15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O703">
        <f t="shared" si="10"/>
        <v>1</v>
      </c>
    </row>
    <row r="704" spans="1:15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O704">
        <f t="shared" si="10"/>
        <v>1</v>
      </c>
    </row>
    <row r="705" spans="1:15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O705">
        <f t="shared" si="10"/>
        <v>1</v>
      </c>
    </row>
    <row r="706" spans="1:15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O706">
        <f t="shared" si="10"/>
        <v>1</v>
      </c>
    </row>
    <row r="707" spans="1:15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O707">
        <f t="shared" ref="O707:O770" si="11">COUNTIF($A:$A,A707)</f>
        <v>1</v>
      </c>
    </row>
    <row r="708" spans="1:15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O708">
        <f t="shared" si="11"/>
        <v>1</v>
      </c>
    </row>
    <row r="709" spans="1:15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O709">
        <f t="shared" si="11"/>
        <v>1</v>
      </c>
    </row>
    <row r="710" spans="1:15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O710">
        <f t="shared" si="11"/>
        <v>1</v>
      </c>
    </row>
    <row r="711" spans="1:15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O711">
        <f t="shared" si="11"/>
        <v>1</v>
      </c>
    </row>
    <row r="712" spans="1:15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O712">
        <f t="shared" si="11"/>
        <v>1</v>
      </c>
    </row>
    <row r="713" spans="1:15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O713">
        <f t="shared" si="11"/>
        <v>1</v>
      </c>
    </row>
    <row r="714" spans="1:15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O714">
        <f t="shared" si="11"/>
        <v>1</v>
      </c>
    </row>
    <row r="715" spans="1:15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O715">
        <f t="shared" si="11"/>
        <v>1</v>
      </c>
    </row>
    <row r="716" spans="1:15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O716">
        <f t="shared" si="11"/>
        <v>1</v>
      </c>
    </row>
    <row r="717" spans="1:15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O717">
        <f t="shared" si="11"/>
        <v>1</v>
      </c>
    </row>
    <row r="718" spans="1:15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O718">
        <f t="shared" si="11"/>
        <v>1</v>
      </c>
    </row>
    <row r="719" spans="1:15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O719">
        <f t="shared" si="11"/>
        <v>1</v>
      </c>
    </row>
    <row r="720" spans="1:15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O720">
        <f t="shared" si="11"/>
        <v>1</v>
      </c>
    </row>
    <row r="721" spans="1:15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O721">
        <f t="shared" si="11"/>
        <v>1</v>
      </c>
    </row>
    <row r="722" spans="1:15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O722">
        <f t="shared" si="11"/>
        <v>1</v>
      </c>
    </row>
    <row r="723" spans="1:15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O723">
        <f t="shared" si="11"/>
        <v>1</v>
      </c>
    </row>
    <row r="724" spans="1:15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O724">
        <f t="shared" si="11"/>
        <v>1</v>
      </c>
    </row>
    <row r="725" spans="1:15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O725">
        <f t="shared" si="11"/>
        <v>1</v>
      </c>
    </row>
    <row r="726" spans="1:15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O726">
        <f t="shared" si="11"/>
        <v>1</v>
      </c>
    </row>
    <row r="727" spans="1:15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O727">
        <f t="shared" si="11"/>
        <v>1</v>
      </c>
    </row>
    <row r="728" spans="1:15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O728">
        <f t="shared" si="11"/>
        <v>1</v>
      </c>
    </row>
    <row r="729" spans="1:15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O729">
        <f t="shared" si="11"/>
        <v>1</v>
      </c>
    </row>
    <row r="730" spans="1:15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O730">
        <f t="shared" si="11"/>
        <v>1</v>
      </c>
    </row>
    <row r="731" spans="1:15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O731">
        <f t="shared" si="11"/>
        <v>1</v>
      </c>
    </row>
    <row r="732" spans="1:15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O732">
        <f t="shared" si="11"/>
        <v>1</v>
      </c>
    </row>
    <row r="733" spans="1:15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O733">
        <f t="shared" si="11"/>
        <v>1</v>
      </c>
    </row>
    <row r="734" spans="1:15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O734">
        <f t="shared" si="11"/>
        <v>1</v>
      </c>
    </row>
    <row r="735" spans="1:15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O735">
        <f t="shared" si="11"/>
        <v>1</v>
      </c>
    </row>
    <row r="736" spans="1:15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O736">
        <f t="shared" si="11"/>
        <v>1</v>
      </c>
    </row>
    <row r="737" spans="1:15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O737">
        <f t="shared" si="11"/>
        <v>1</v>
      </c>
    </row>
    <row r="738" spans="1:15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O738">
        <f t="shared" si="11"/>
        <v>1</v>
      </c>
    </row>
    <row r="739" spans="1:15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O739">
        <f t="shared" si="11"/>
        <v>1</v>
      </c>
    </row>
    <row r="740" spans="1:15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O740">
        <f t="shared" si="11"/>
        <v>1</v>
      </c>
    </row>
    <row r="741" spans="1:15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O741">
        <f t="shared" si="11"/>
        <v>1</v>
      </c>
    </row>
    <row r="742" spans="1:15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O742">
        <f t="shared" si="11"/>
        <v>1</v>
      </c>
    </row>
    <row r="743" spans="1:15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O743">
        <f t="shared" si="11"/>
        <v>1</v>
      </c>
    </row>
    <row r="744" spans="1:15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O744">
        <f t="shared" si="11"/>
        <v>1</v>
      </c>
    </row>
    <row r="745" spans="1:15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O745">
        <f t="shared" si="11"/>
        <v>1</v>
      </c>
    </row>
    <row r="746" spans="1:15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O746">
        <f t="shared" si="11"/>
        <v>1</v>
      </c>
    </row>
    <row r="747" spans="1:15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O747">
        <f t="shared" si="11"/>
        <v>1</v>
      </c>
    </row>
    <row r="748" spans="1:15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O748">
        <f t="shared" si="11"/>
        <v>1</v>
      </c>
    </row>
    <row r="749" spans="1:15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O749">
        <f t="shared" si="11"/>
        <v>1</v>
      </c>
    </row>
    <row r="750" spans="1:15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O750">
        <f t="shared" si="11"/>
        <v>1</v>
      </c>
    </row>
    <row r="751" spans="1:15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O751">
        <f t="shared" si="11"/>
        <v>1</v>
      </c>
    </row>
    <row r="752" spans="1:15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O752">
        <f t="shared" si="11"/>
        <v>1</v>
      </c>
    </row>
    <row r="753" spans="1:15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O753">
        <f t="shared" si="11"/>
        <v>1</v>
      </c>
    </row>
    <row r="754" spans="1:15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O754">
        <f t="shared" si="11"/>
        <v>1</v>
      </c>
    </row>
    <row r="755" spans="1:15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O755">
        <f t="shared" si="11"/>
        <v>1</v>
      </c>
    </row>
    <row r="756" spans="1:15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O756">
        <f t="shared" si="11"/>
        <v>1</v>
      </c>
    </row>
    <row r="757" spans="1:15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O757">
        <f t="shared" si="11"/>
        <v>1</v>
      </c>
    </row>
    <row r="758" spans="1:15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O758">
        <f t="shared" si="11"/>
        <v>1</v>
      </c>
    </row>
    <row r="759" spans="1:15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O759">
        <f t="shared" si="11"/>
        <v>1</v>
      </c>
    </row>
    <row r="760" spans="1:15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O760">
        <f t="shared" si="11"/>
        <v>1</v>
      </c>
    </row>
    <row r="761" spans="1:15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O761">
        <f t="shared" si="11"/>
        <v>1</v>
      </c>
    </row>
    <row r="762" spans="1:15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O762">
        <f t="shared" si="11"/>
        <v>1</v>
      </c>
    </row>
    <row r="763" spans="1:15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O763">
        <f t="shared" si="11"/>
        <v>1</v>
      </c>
    </row>
    <row r="764" spans="1:15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O764">
        <f t="shared" si="11"/>
        <v>1</v>
      </c>
    </row>
    <row r="765" spans="1:15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O765">
        <f t="shared" si="11"/>
        <v>1</v>
      </c>
    </row>
    <row r="766" spans="1:15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O766">
        <f t="shared" si="11"/>
        <v>1</v>
      </c>
    </row>
    <row r="767" spans="1:15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O767">
        <f t="shared" si="11"/>
        <v>1</v>
      </c>
    </row>
    <row r="768" spans="1:15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O768">
        <f t="shared" si="11"/>
        <v>1</v>
      </c>
    </row>
    <row r="769" spans="1:15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O769">
        <f t="shared" si="11"/>
        <v>1</v>
      </c>
    </row>
    <row r="770" spans="1:15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O770">
        <f t="shared" si="11"/>
        <v>1</v>
      </c>
    </row>
    <row r="771" spans="1:15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O771">
        <f t="shared" ref="O771:O834" si="12">COUNTIF($A:$A,A771)</f>
        <v>1</v>
      </c>
    </row>
    <row r="772" spans="1:15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O772">
        <f t="shared" si="12"/>
        <v>1</v>
      </c>
    </row>
    <row r="773" spans="1:15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O773">
        <f t="shared" si="12"/>
        <v>1</v>
      </c>
    </row>
    <row r="774" spans="1:15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O774">
        <f t="shared" si="12"/>
        <v>1</v>
      </c>
    </row>
    <row r="775" spans="1:15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O775">
        <f t="shared" si="12"/>
        <v>1</v>
      </c>
    </row>
    <row r="776" spans="1:15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O776">
        <f t="shared" si="12"/>
        <v>1</v>
      </c>
    </row>
    <row r="777" spans="1:15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O777">
        <f t="shared" si="12"/>
        <v>1</v>
      </c>
    </row>
    <row r="778" spans="1:15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O778">
        <f t="shared" si="12"/>
        <v>1</v>
      </c>
    </row>
    <row r="779" spans="1:15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O779">
        <f t="shared" si="12"/>
        <v>1</v>
      </c>
    </row>
    <row r="780" spans="1:15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O780">
        <f t="shared" si="12"/>
        <v>1</v>
      </c>
    </row>
    <row r="781" spans="1:15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O781">
        <f t="shared" si="12"/>
        <v>1</v>
      </c>
    </row>
    <row r="782" spans="1:15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O782">
        <f t="shared" si="12"/>
        <v>1</v>
      </c>
    </row>
    <row r="783" spans="1:15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O783">
        <f t="shared" si="12"/>
        <v>1</v>
      </c>
    </row>
    <row r="784" spans="1:15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O784">
        <f t="shared" si="12"/>
        <v>1</v>
      </c>
    </row>
    <row r="785" spans="1:15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O785">
        <f t="shared" si="12"/>
        <v>1</v>
      </c>
    </row>
    <row r="786" spans="1:15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O786">
        <f t="shared" si="12"/>
        <v>1</v>
      </c>
    </row>
    <row r="787" spans="1:15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O787">
        <f t="shared" si="12"/>
        <v>1</v>
      </c>
    </row>
    <row r="788" spans="1:15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O788">
        <f t="shared" si="12"/>
        <v>1</v>
      </c>
    </row>
    <row r="789" spans="1:15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O789">
        <f t="shared" si="12"/>
        <v>1</v>
      </c>
    </row>
    <row r="790" spans="1:15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O790">
        <f t="shared" si="12"/>
        <v>1</v>
      </c>
    </row>
    <row r="791" spans="1:15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O791">
        <f t="shared" si="12"/>
        <v>1</v>
      </c>
    </row>
    <row r="792" spans="1:15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O792">
        <f t="shared" si="12"/>
        <v>1</v>
      </c>
    </row>
    <row r="793" spans="1:15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O793">
        <f t="shared" si="12"/>
        <v>1</v>
      </c>
    </row>
    <row r="794" spans="1:15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O794">
        <f t="shared" si="12"/>
        <v>1</v>
      </c>
    </row>
    <row r="795" spans="1:15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O795">
        <f t="shared" si="12"/>
        <v>1</v>
      </c>
    </row>
    <row r="796" spans="1:15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O796">
        <f t="shared" si="12"/>
        <v>1</v>
      </c>
    </row>
    <row r="797" spans="1:15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O797">
        <f t="shared" si="12"/>
        <v>1</v>
      </c>
    </row>
    <row r="798" spans="1:15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O798">
        <f t="shared" si="12"/>
        <v>1</v>
      </c>
    </row>
    <row r="799" spans="1:15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O799">
        <f t="shared" si="12"/>
        <v>1</v>
      </c>
    </row>
    <row r="800" spans="1:15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O800">
        <f t="shared" si="12"/>
        <v>1</v>
      </c>
    </row>
    <row r="801" spans="1:15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O801">
        <f t="shared" si="12"/>
        <v>1</v>
      </c>
    </row>
    <row r="802" spans="1:15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O802">
        <f t="shared" si="12"/>
        <v>1</v>
      </c>
    </row>
    <row r="803" spans="1:15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O803">
        <f t="shared" si="12"/>
        <v>1</v>
      </c>
    </row>
    <row r="804" spans="1:15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O804">
        <f t="shared" si="12"/>
        <v>1</v>
      </c>
    </row>
    <row r="805" spans="1:15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O805">
        <f t="shared" si="12"/>
        <v>1</v>
      </c>
    </row>
    <row r="806" spans="1:15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O806">
        <f t="shared" si="12"/>
        <v>1</v>
      </c>
    </row>
    <row r="807" spans="1:15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O807">
        <f t="shared" si="12"/>
        <v>1</v>
      </c>
    </row>
    <row r="808" spans="1:15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O808">
        <f t="shared" si="12"/>
        <v>1</v>
      </c>
    </row>
    <row r="809" spans="1:15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O809">
        <f t="shared" si="12"/>
        <v>1</v>
      </c>
    </row>
    <row r="810" spans="1:15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O810">
        <f t="shared" si="12"/>
        <v>1</v>
      </c>
    </row>
    <row r="811" spans="1:15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O811">
        <f t="shared" si="12"/>
        <v>1</v>
      </c>
    </row>
    <row r="812" spans="1:15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O812">
        <f t="shared" si="12"/>
        <v>1</v>
      </c>
    </row>
    <row r="813" spans="1:15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O813">
        <f t="shared" si="12"/>
        <v>1</v>
      </c>
    </row>
    <row r="814" spans="1:15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O814">
        <f t="shared" si="12"/>
        <v>1</v>
      </c>
    </row>
    <row r="815" spans="1:15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O815">
        <f t="shared" si="12"/>
        <v>1</v>
      </c>
    </row>
    <row r="816" spans="1:15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O816">
        <f t="shared" si="12"/>
        <v>1</v>
      </c>
    </row>
    <row r="817" spans="1:15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O817">
        <f t="shared" si="12"/>
        <v>1</v>
      </c>
    </row>
    <row r="818" spans="1:15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O818">
        <f t="shared" si="12"/>
        <v>1</v>
      </c>
    </row>
    <row r="819" spans="1:15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O819">
        <f t="shared" si="12"/>
        <v>1</v>
      </c>
    </row>
    <row r="820" spans="1:15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O820">
        <f t="shared" si="12"/>
        <v>1</v>
      </c>
    </row>
    <row r="821" spans="1:15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O821">
        <f t="shared" si="12"/>
        <v>1</v>
      </c>
    </row>
    <row r="822" spans="1:15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O822">
        <f t="shared" si="12"/>
        <v>1</v>
      </c>
    </row>
    <row r="823" spans="1:15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O823">
        <f t="shared" si="12"/>
        <v>1</v>
      </c>
    </row>
    <row r="824" spans="1:15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O824">
        <f t="shared" si="12"/>
        <v>1</v>
      </c>
    </row>
    <row r="825" spans="1:15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O825">
        <f t="shared" si="12"/>
        <v>1</v>
      </c>
    </row>
    <row r="826" spans="1:15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O826">
        <f t="shared" si="12"/>
        <v>1</v>
      </c>
    </row>
    <row r="827" spans="1:15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O827">
        <f t="shared" si="12"/>
        <v>1</v>
      </c>
    </row>
    <row r="828" spans="1:15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O828">
        <f t="shared" si="12"/>
        <v>1</v>
      </c>
    </row>
    <row r="829" spans="1:15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O829">
        <f t="shared" si="12"/>
        <v>1</v>
      </c>
    </row>
    <row r="830" spans="1:15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O830">
        <f t="shared" si="12"/>
        <v>1</v>
      </c>
    </row>
    <row r="831" spans="1:15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O831">
        <f t="shared" si="12"/>
        <v>1</v>
      </c>
    </row>
    <row r="832" spans="1:15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O832">
        <f t="shared" si="12"/>
        <v>1</v>
      </c>
    </row>
    <row r="833" spans="1:15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O833">
        <f t="shared" si="12"/>
        <v>1</v>
      </c>
    </row>
    <row r="834" spans="1:15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O834">
        <f t="shared" si="12"/>
        <v>1</v>
      </c>
    </row>
    <row r="835" spans="1:15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O835">
        <f t="shared" ref="O835:O898" si="13">COUNTIF($A:$A,A835)</f>
        <v>1</v>
      </c>
    </row>
    <row r="836" spans="1:15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O836">
        <f t="shared" si="13"/>
        <v>1</v>
      </c>
    </row>
    <row r="837" spans="1:15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O837">
        <f t="shared" si="13"/>
        <v>1</v>
      </c>
    </row>
    <row r="838" spans="1:15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O838">
        <f t="shared" si="13"/>
        <v>1</v>
      </c>
    </row>
    <row r="839" spans="1:15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O839">
        <f t="shared" si="13"/>
        <v>1</v>
      </c>
    </row>
    <row r="840" spans="1:15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O840">
        <f t="shared" si="13"/>
        <v>1</v>
      </c>
    </row>
    <row r="841" spans="1:15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O841">
        <f t="shared" si="13"/>
        <v>1</v>
      </c>
    </row>
    <row r="842" spans="1:15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O842">
        <f t="shared" si="13"/>
        <v>1</v>
      </c>
    </row>
    <row r="843" spans="1:15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O843">
        <f t="shared" si="13"/>
        <v>1</v>
      </c>
    </row>
    <row r="844" spans="1:15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O844">
        <f t="shared" si="13"/>
        <v>1</v>
      </c>
    </row>
    <row r="845" spans="1:15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O845">
        <f t="shared" si="13"/>
        <v>1</v>
      </c>
    </row>
    <row r="846" spans="1:15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O846">
        <f t="shared" si="13"/>
        <v>1</v>
      </c>
    </row>
    <row r="847" spans="1:15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O847">
        <f t="shared" si="13"/>
        <v>1</v>
      </c>
    </row>
    <row r="848" spans="1:15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O848">
        <f t="shared" si="13"/>
        <v>1</v>
      </c>
    </row>
    <row r="849" spans="1:15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O849">
        <f t="shared" si="13"/>
        <v>1</v>
      </c>
    </row>
    <row r="850" spans="1:15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O850">
        <f t="shared" si="13"/>
        <v>1</v>
      </c>
    </row>
    <row r="851" spans="1:15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O851">
        <f t="shared" si="13"/>
        <v>1</v>
      </c>
    </row>
    <row r="852" spans="1:15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O852">
        <f t="shared" si="13"/>
        <v>1</v>
      </c>
    </row>
    <row r="853" spans="1:15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O853">
        <f t="shared" si="13"/>
        <v>1</v>
      </c>
    </row>
    <row r="854" spans="1:15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O854">
        <f t="shared" si="13"/>
        <v>1</v>
      </c>
    </row>
    <row r="855" spans="1:15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O855">
        <f t="shared" si="13"/>
        <v>1</v>
      </c>
    </row>
    <row r="856" spans="1:15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O856">
        <f t="shared" si="13"/>
        <v>1</v>
      </c>
    </row>
    <row r="857" spans="1:15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O857">
        <f t="shared" si="13"/>
        <v>1</v>
      </c>
    </row>
    <row r="858" spans="1:15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O858">
        <f t="shared" si="13"/>
        <v>1</v>
      </c>
    </row>
    <row r="859" spans="1:15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O859">
        <f t="shared" si="13"/>
        <v>1</v>
      </c>
    </row>
    <row r="860" spans="1:15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O860">
        <f t="shared" si="13"/>
        <v>1</v>
      </c>
    </row>
    <row r="861" spans="1:15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O861">
        <f t="shared" si="13"/>
        <v>1</v>
      </c>
    </row>
    <row r="862" spans="1:15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O862">
        <f t="shared" si="13"/>
        <v>1</v>
      </c>
    </row>
    <row r="863" spans="1:15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O863">
        <f t="shared" si="13"/>
        <v>1</v>
      </c>
    </row>
    <row r="864" spans="1:15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O864">
        <f t="shared" si="13"/>
        <v>1</v>
      </c>
    </row>
    <row r="865" spans="1:15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O865">
        <f t="shared" si="13"/>
        <v>1</v>
      </c>
    </row>
    <row r="866" spans="1:15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O866">
        <f t="shared" si="13"/>
        <v>1</v>
      </c>
    </row>
    <row r="867" spans="1:15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O867">
        <f t="shared" si="13"/>
        <v>1</v>
      </c>
    </row>
    <row r="868" spans="1:15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O868">
        <f t="shared" si="13"/>
        <v>1</v>
      </c>
    </row>
    <row r="869" spans="1:15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O869">
        <f t="shared" si="13"/>
        <v>1</v>
      </c>
    </row>
    <row r="870" spans="1:15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O870">
        <f t="shared" si="13"/>
        <v>1</v>
      </c>
    </row>
    <row r="871" spans="1:15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O871">
        <f t="shared" si="13"/>
        <v>1</v>
      </c>
    </row>
    <row r="872" spans="1:15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O872">
        <f t="shared" si="13"/>
        <v>1</v>
      </c>
    </row>
    <row r="873" spans="1:15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O873">
        <f t="shared" si="13"/>
        <v>1</v>
      </c>
    </row>
    <row r="874" spans="1:15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O874">
        <f t="shared" si="13"/>
        <v>1</v>
      </c>
    </row>
    <row r="875" spans="1:15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O875">
        <f t="shared" si="13"/>
        <v>1</v>
      </c>
    </row>
    <row r="876" spans="1:15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O876">
        <f t="shared" si="13"/>
        <v>1</v>
      </c>
    </row>
    <row r="877" spans="1:15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O877">
        <f t="shared" si="13"/>
        <v>1</v>
      </c>
    </row>
    <row r="878" spans="1:15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O878">
        <f t="shared" si="13"/>
        <v>1</v>
      </c>
    </row>
    <row r="879" spans="1:15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O879">
        <f t="shared" si="13"/>
        <v>1</v>
      </c>
    </row>
    <row r="880" spans="1:15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O880">
        <f t="shared" si="13"/>
        <v>1</v>
      </c>
    </row>
    <row r="881" spans="1:15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O881">
        <f t="shared" si="13"/>
        <v>1</v>
      </c>
    </row>
    <row r="882" spans="1:15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O882">
        <f t="shared" si="13"/>
        <v>1</v>
      </c>
    </row>
    <row r="883" spans="1:15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O883">
        <f t="shared" si="13"/>
        <v>1</v>
      </c>
    </row>
    <row r="884" spans="1:15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O884">
        <f t="shared" si="13"/>
        <v>1</v>
      </c>
    </row>
    <row r="885" spans="1:15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O885">
        <f t="shared" si="13"/>
        <v>1</v>
      </c>
    </row>
    <row r="886" spans="1:15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O886">
        <f t="shared" si="13"/>
        <v>1</v>
      </c>
    </row>
    <row r="887" spans="1:15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O887">
        <f t="shared" si="13"/>
        <v>1</v>
      </c>
    </row>
    <row r="888" spans="1:15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O888">
        <f t="shared" si="13"/>
        <v>1</v>
      </c>
    </row>
    <row r="889" spans="1:15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O889">
        <f t="shared" si="13"/>
        <v>1</v>
      </c>
    </row>
    <row r="890" spans="1:15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O890">
        <f t="shared" si="13"/>
        <v>1</v>
      </c>
    </row>
    <row r="891" spans="1:15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O891">
        <f t="shared" si="13"/>
        <v>1</v>
      </c>
    </row>
    <row r="892" spans="1:15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O892">
        <f t="shared" si="13"/>
        <v>1</v>
      </c>
    </row>
    <row r="893" spans="1:15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O893">
        <f t="shared" si="13"/>
        <v>1</v>
      </c>
    </row>
    <row r="894" spans="1:15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O894">
        <f t="shared" si="13"/>
        <v>1</v>
      </c>
    </row>
    <row r="895" spans="1:15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O895">
        <f t="shared" si="13"/>
        <v>1</v>
      </c>
    </row>
    <row r="896" spans="1:15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O896">
        <f t="shared" si="13"/>
        <v>1</v>
      </c>
    </row>
    <row r="897" spans="1:15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O897">
        <f t="shared" si="13"/>
        <v>1</v>
      </c>
    </row>
    <row r="898" spans="1:15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O898">
        <f t="shared" si="13"/>
        <v>1</v>
      </c>
    </row>
    <row r="899" spans="1:15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O899">
        <f t="shared" ref="O899:O962" si="14">COUNTIF($A:$A,A899)</f>
        <v>1</v>
      </c>
    </row>
    <row r="900" spans="1:15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O900">
        <f t="shared" si="14"/>
        <v>1</v>
      </c>
    </row>
    <row r="901" spans="1:15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O901">
        <f t="shared" si="14"/>
        <v>1</v>
      </c>
    </row>
    <row r="902" spans="1:15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O902">
        <f t="shared" si="14"/>
        <v>1</v>
      </c>
    </row>
    <row r="903" spans="1:15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O903">
        <f t="shared" si="14"/>
        <v>1</v>
      </c>
    </row>
    <row r="904" spans="1:15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O904">
        <f t="shared" si="14"/>
        <v>1</v>
      </c>
    </row>
    <row r="905" spans="1:15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O905">
        <f t="shared" si="14"/>
        <v>1</v>
      </c>
    </row>
    <row r="906" spans="1:15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O906">
        <f t="shared" si="14"/>
        <v>1</v>
      </c>
    </row>
    <row r="907" spans="1:15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O907">
        <f t="shared" si="14"/>
        <v>1</v>
      </c>
    </row>
    <row r="908" spans="1:15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O908">
        <f t="shared" si="14"/>
        <v>1</v>
      </c>
    </row>
    <row r="909" spans="1:15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O909">
        <f t="shared" si="14"/>
        <v>1</v>
      </c>
    </row>
    <row r="910" spans="1:15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O910">
        <f t="shared" si="14"/>
        <v>1</v>
      </c>
    </row>
    <row r="911" spans="1:15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O911">
        <f t="shared" si="14"/>
        <v>1</v>
      </c>
    </row>
    <row r="912" spans="1:15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O912">
        <f t="shared" si="14"/>
        <v>1</v>
      </c>
    </row>
    <row r="913" spans="1:15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O913">
        <f t="shared" si="14"/>
        <v>1</v>
      </c>
    </row>
    <row r="914" spans="1:15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O914">
        <f t="shared" si="14"/>
        <v>1</v>
      </c>
    </row>
    <row r="915" spans="1:15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O915">
        <f t="shared" si="14"/>
        <v>1</v>
      </c>
    </row>
    <row r="916" spans="1:15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O916">
        <f t="shared" si="14"/>
        <v>1</v>
      </c>
    </row>
    <row r="917" spans="1:15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O917">
        <f t="shared" si="14"/>
        <v>1</v>
      </c>
    </row>
    <row r="918" spans="1:15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O918">
        <f t="shared" si="14"/>
        <v>1</v>
      </c>
    </row>
    <row r="919" spans="1:15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O919">
        <f t="shared" si="14"/>
        <v>1</v>
      </c>
    </row>
    <row r="920" spans="1:15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O920">
        <f t="shared" si="14"/>
        <v>1</v>
      </c>
    </row>
    <row r="921" spans="1:15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O921">
        <f t="shared" si="14"/>
        <v>1</v>
      </c>
    </row>
    <row r="922" spans="1:15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O922">
        <f t="shared" si="14"/>
        <v>1</v>
      </c>
    </row>
    <row r="923" spans="1:15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O923">
        <f t="shared" si="14"/>
        <v>1</v>
      </c>
    </row>
    <row r="924" spans="1:15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O924">
        <f t="shared" si="14"/>
        <v>1</v>
      </c>
    </row>
    <row r="925" spans="1:15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O925">
        <f t="shared" si="14"/>
        <v>1</v>
      </c>
    </row>
    <row r="926" spans="1:15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O926">
        <f t="shared" si="14"/>
        <v>1</v>
      </c>
    </row>
    <row r="927" spans="1:15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O927">
        <f t="shared" si="14"/>
        <v>1</v>
      </c>
    </row>
    <row r="928" spans="1:15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O928">
        <f t="shared" si="14"/>
        <v>1</v>
      </c>
    </row>
    <row r="929" spans="1:15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O929">
        <f t="shared" si="14"/>
        <v>1</v>
      </c>
    </row>
    <row r="930" spans="1:15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O930">
        <f t="shared" si="14"/>
        <v>1</v>
      </c>
    </row>
    <row r="931" spans="1:15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O931">
        <f t="shared" si="14"/>
        <v>1</v>
      </c>
    </row>
    <row r="932" spans="1:15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O932">
        <f t="shared" si="14"/>
        <v>1</v>
      </c>
    </row>
    <row r="933" spans="1:15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O933">
        <f t="shared" si="14"/>
        <v>1</v>
      </c>
    </row>
    <row r="934" spans="1:15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O934">
        <f t="shared" si="14"/>
        <v>1</v>
      </c>
    </row>
    <row r="935" spans="1:15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O935">
        <f t="shared" si="14"/>
        <v>1</v>
      </c>
    </row>
    <row r="936" spans="1:15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O936">
        <f t="shared" si="14"/>
        <v>1</v>
      </c>
    </row>
    <row r="937" spans="1:15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O937">
        <f t="shared" si="14"/>
        <v>1</v>
      </c>
    </row>
    <row r="938" spans="1:15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O938">
        <f t="shared" si="14"/>
        <v>1</v>
      </c>
    </row>
    <row r="939" spans="1:15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O939">
        <f t="shared" si="14"/>
        <v>1</v>
      </c>
    </row>
    <row r="940" spans="1:15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O940">
        <f t="shared" si="14"/>
        <v>1</v>
      </c>
    </row>
    <row r="941" spans="1:15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O941">
        <f t="shared" si="14"/>
        <v>1</v>
      </c>
    </row>
    <row r="942" spans="1:15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O942">
        <f t="shared" si="14"/>
        <v>1</v>
      </c>
    </row>
    <row r="943" spans="1:15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O943">
        <f t="shared" si="14"/>
        <v>1</v>
      </c>
    </row>
    <row r="944" spans="1:15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O944">
        <f t="shared" si="14"/>
        <v>1</v>
      </c>
    </row>
    <row r="945" spans="1:15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O945">
        <f t="shared" si="14"/>
        <v>1</v>
      </c>
    </row>
    <row r="946" spans="1:15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O946">
        <f t="shared" si="14"/>
        <v>1</v>
      </c>
    </row>
    <row r="947" spans="1:15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O947">
        <f t="shared" si="14"/>
        <v>1</v>
      </c>
    </row>
    <row r="948" spans="1:15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O948">
        <f t="shared" si="14"/>
        <v>1</v>
      </c>
    </row>
    <row r="949" spans="1:15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O949">
        <f t="shared" si="14"/>
        <v>1</v>
      </c>
    </row>
    <row r="950" spans="1:15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O950">
        <f t="shared" si="14"/>
        <v>1</v>
      </c>
    </row>
    <row r="951" spans="1:15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O951">
        <f t="shared" si="14"/>
        <v>1</v>
      </c>
    </row>
    <row r="952" spans="1:15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O952">
        <f t="shared" si="14"/>
        <v>1</v>
      </c>
    </row>
    <row r="953" spans="1:15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O953">
        <f t="shared" si="14"/>
        <v>1</v>
      </c>
    </row>
    <row r="954" spans="1:15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O954">
        <f t="shared" si="14"/>
        <v>1</v>
      </c>
    </row>
    <row r="955" spans="1:15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O955">
        <f t="shared" si="14"/>
        <v>1</v>
      </c>
    </row>
    <row r="956" spans="1:15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O956">
        <f t="shared" si="14"/>
        <v>1</v>
      </c>
    </row>
    <row r="957" spans="1:15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O957">
        <f t="shared" si="14"/>
        <v>1</v>
      </c>
    </row>
    <row r="958" spans="1:15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O958">
        <f t="shared" si="14"/>
        <v>1</v>
      </c>
    </row>
    <row r="959" spans="1:15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O959">
        <f t="shared" si="14"/>
        <v>1</v>
      </c>
    </row>
    <row r="960" spans="1:15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O960">
        <f t="shared" si="14"/>
        <v>1</v>
      </c>
    </row>
    <row r="961" spans="1:15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O961">
        <f t="shared" si="14"/>
        <v>1</v>
      </c>
    </row>
    <row r="962" spans="1:15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O962">
        <f t="shared" si="14"/>
        <v>1</v>
      </c>
    </row>
    <row r="963" spans="1:15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O963">
        <f t="shared" ref="O963:O1026" si="15">COUNTIF($A:$A,A963)</f>
        <v>1</v>
      </c>
    </row>
    <row r="964" spans="1:15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O964">
        <f t="shared" si="15"/>
        <v>1</v>
      </c>
    </row>
    <row r="965" spans="1:15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O965">
        <f t="shared" si="15"/>
        <v>1</v>
      </c>
    </row>
    <row r="966" spans="1:15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O966">
        <f t="shared" si="15"/>
        <v>1</v>
      </c>
    </row>
    <row r="967" spans="1:15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O967">
        <f t="shared" si="15"/>
        <v>1</v>
      </c>
    </row>
    <row r="968" spans="1:15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O968">
        <f t="shared" si="15"/>
        <v>1</v>
      </c>
    </row>
    <row r="969" spans="1:15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O969">
        <f t="shared" si="15"/>
        <v>1</v>
      </c>
    </row>
    <row r="970" spans="1:15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O970">
        <f t="shared" si="15"/>
        <v>1</v>
      </c>
    </row>
    <row r="971" spans="1:15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O971">
        <f t="shared" si="15"/>
        <v>1</v>
      </c>
    </row>
    <row r="972" spans="1:15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O972">
        <f t="shared" si="15"/>
        <v>1</v>
      </c>
    </row>
    <row r="973" spans="1:15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O973">
        <f t="shared" si="15"/>
        <v>1</v>
      </c>
    </row>
    <row r="974" spans="1:15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O974">
        <f t="shared" si="15"/>
        <v>1</v>
      </c>
    </row>
    <row r="975" spans="1:15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O975">
        <f t="shared" si="15"/>
        <v>1</v>
      </c>
    </row>
    <row r="976" spans="1:15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O976">
        <f t="shared" si="15"/>
        <v>1</v>
      </c>
    </row>
    <row r="977" spans="1:15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O977">
        <f t="shared" si="15"/>
        <v>1</v>
      </c>
    </row>
    <row r="978" spans="1:15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O978">
        <f t="shared" si="15"/>
        <v>1</v>
      </c>
    </row>
    <row r="979" spans="1:15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O979">
        <f t="shared" si="15"/>
        <v>1</v>
      </c>
    </row>
    <row r="980" spans="1:15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O980">
        <f t="shared" si="15"/>
        <v>1</v>
      </c>
    </row>
    <row r="981" spans="1:15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O981">
        <f t="shared" si="15"/>
        <v>1</v>
      </c>
    </row>
    <row r="982" spans="1:15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O982">
        <f t="shared" si="15"/>
        <v>1</v>
      </c>
    </row>
    <row r="983" spans="1:15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O983">
        <f t="shared" si="15"/>
        <v>1</v>
      </c>
    </row>
    <row r="984" spans="1:15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O984">
        <f t="shared" si="15"/>
        <v>1</v>
      </c>
    </row>
    <row r="985" spans="1:15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O985">
        <f t="shared" si="15"/>
        <v>1</v>
      </c>
    </row>
    <row r="986" spans="1:15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O986">
        <f t="shared" si="15"/>
        <v>1</v>
      </c>
    </row>
    <row r="987" spans="1:15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O987">
        <f t="shared" si="15"/>
        <v>1</v>
      </c>
    </row>
    <row r="988" spans="1:15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O988">
        <f t="shared" si="15"/>
        <v>1</v>
      </c>
    </row>
    <row r="989" spans="1:15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O989">
        <f t="shared" si="15"/>
        <v>1</v>
      </c>
    </row>
    <row r="990" spans="1:15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O990">
        <f t="shared" si="15"/>
        <v>1</v>
      </c>
    </row>
    <row r="991" spans="1:15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O991">
        <f t="shared" si="15"/>
        <v>1</v>
      </c>
    </row>
    <row r="992" spans="1:15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O992">
        <f t="shared" si="15"/>
        <v>1</v>
      </c>
    </row>
    <row r="993" spans="1:15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O993">
        <f t="shared" si="15"/>
        <v>1</v>
      </c>
    </row>
    <row r="994" spans="1:15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O994">
        <f t="shared" si="15"/>
        <v>1</v>
      </c>
    </row>
    <row r="995" spans="1:15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O995">
        <f t="shared" si="15"/>
        <v>1</v>
      </c>
    </row>
    <row r="996" spans="1:15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O996">
        <f t="shared" si="15"/>
        <v>1</v>
      </c>
    </row>
    <row r="997" spans="1:15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O997">
        <f t="shared" si="15"/>
        <v>1</v>
      </c>
    </row>
    <row r="998" spans="1:15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O998">
        <f t="shared" si="15"/>
        <v>1</v>
      </c>
    </row>
    <row r="999" spans="1:15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O999">
        <f t="shared" si="15"/>
        <v>1</v>
      </c>
    </row>
    <row r="1000" spans="1:15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O1000">
        <f t="shared" si="15"/>
        <v>1</v>
      </c>
    </row>
    <row r="1001" spans="1:15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O1001">
        <f t="shared" si="15"/>
        <v>1</v>
      </c>
    </row>
    <row r="1002" spans="1:15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O1002">
        <f t="shared" si="15"/>
        <v>1</v>
      </c>
    </row>
    <row r="1003" spans="1:15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O1003">
        <f t="shared" si="15"/>
        <v>1</v>
      </c>
    </row>
    <row r="1004" spans="1:15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O1004">
        <f t="shared" si="15"/>
        <v>1</v>
      </c>
    </row>
    <row r="1005" spans="1:15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O1005">
        <f t="shared" si="15"/>
        <v>1</v>
      </c>
    </row>
    <row r="1006" spans="1:15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O1006">
        <f t="shared" si="15"/>
        <v>1</v>
      </c>
    </row>
    <row r="1007" spans="1:15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O1007">
        <f t="shared" si="15"/>
        <v>1</v>
      </c>
    </row>
    <row r="1008" spans="1:15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O1008">
        <f t="shared" si="15"/>
        <v>1</v>
      </c>
    </row>
    <row r="1009" spans="1:15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O1009">
        <f t="shared" si="15"/>
        <v>1</v>
      </c>
    </row>
    <row r="1010" spans="1:15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O1010">
        <f t="shared" si="15"/>
        <v>1</v>
      </c>
    </row>
    <row r="1011" spans="1:15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O1011">
        <f t="shared" si="15"/>
        <v>1</v>
      </c>
    </row>
    <row r="1012" spans="1:15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O1012">
        <f t="shared" si="15"/>
        <v>1</v>
      </c>
    </row>
    <row r="1013" spans="1:15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O1013">
        <f t="shared" si="15"/>
        <v>1</v>
      </c>
    </row>
    <row r="1014" spans="1:15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O1014">
        <f t="shared" si="15"/>
        <v>1</v>
      </c>
    </row>
    <row r="1015" spans="1:15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O1015">
        <f t="shared" si="15"/>
        <v>1</v>
      </c>
    </row>
    <row r="1016" spans="1:15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O1016">
        <f t="shared" si="15"/>
        <v>1</v>
      </c>
    </row>
    <row r="1017" spans="1:15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O1017">
        <f t="shared" si="15"/>
        <v>1</v>
      </c>
    </row>
    <row r="1018" spans="1:15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O1018">
        <f t="shared" si="15"/>
        <v>1</v>
      </c>
    </row>
    <row r="1019" spans="1:15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O1019">
        <f t="shared" si="15"/>
        <v>1</v>
      </c>
    </row>
    <row r="1020" spans="1:15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  <c r="O1020">
        <f t="shared" si="15"/>
        <v>1</v>
      </c>
    </row>
    <row r="1021" spans="1:15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O1021">
        <f t="shared" si="15"/>
        <v>1</v>
      </c>
    </row>
    <row r="1022" spans="1:15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O1022">
        <f t="shared" si="15"/>
        <v>1</v>
      </c>
    </row>
    <row r="1023" spans="1:15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O1023">
        <f t="shared" si="15"/>
        <v>1</v>
      </c>
    </row>
    <row r="1024" spans="1:15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O1024">
        <f t="shared" si="15"/>
        <v>1</v>
      </c>
    </row>
    <row r="1025" spans="1:15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O1025">
        <f t="shared" si="15"/>
        <v>1</v>
      </c>
    </row>
    <row r="1026" spans="1:15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O1026">
        <f t="shared" si="15"/>
        <v>1</v>
      </c>
    </row>
    <row r="1027" spans="1:15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O1027">
        <f t="shared" ref="O1027:O1090" si="16">COUNTIF($A:$A,A1027)</f>
        <v>1</v>
      </c>
    </row>
    <row r="1028" spans="1:15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O1028">
        <f t="shared" si="16"/>
        <v>1</v>
      </c>
    </row>
    <row r="1029" spans="1:15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O1029">
        <f t="shared" si="16"/>
        <v>1</v>
      </c>
    </row>
    <row r="1030" spans="1:15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O1030">
        <f t="shared" si="16"/>
        <v>1</v>
      </c>
    </row>
    <row r="1031" spans="1:15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O1031">
        <f t="shared" si="16"/>
        <v>1</v>
      </c>
    </row>
    <row r="1032" spans="1:15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O1032">
        <f t="shared" si="16"/>
        <v>1</v>
      </c>
    </row>
    <row r="1033" spans="1:15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O1033">
        <f t="shared" si="16"/>
        <v>1</v>
      </c>
    </row>
    <row r="1034" spans="1:15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O1034">
        <f t="shared" si="16"/>
        <v>1</v>
      </c>
    </row>
    <row r="1035" spans="1:15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O1035">
        <f t="shared" si="16"/>
        <v>1</v>
      </c>
    </row>
    <row r="1036" spans="1:15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O1036">
        <f t="shared" si="16"/>
        <v>1</v>
      </c>
    </row>
    <row r="1037" spans="1:15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O1037">
        <f t="shared" si="16"/>
        <v>1</v>
      </c>
    </row>
    <row r="1038" spans="1:15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O1038">
        <f t="shared" si="16"/>
        <v>1</v>
      </c>
    </row>
    <row r="1039" spans="1:15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O1039">
        <f t="shared" si="16"/>
        <v>1</v>
      </c>
    </row>
    <row r="1040" spans="1:15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O1040">
        <f t="shared" si="16"/>
        <v>1</v>
      </c>
    </row>
    <row r="1041" spans="1:15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O1041">
        <f t="shared" si="16"/>
        <v>1</v>
      </c>
    </row>
    <row r="1042" spans="1:15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O1042">
        <f t="shared" si="16"/>
        <v>1</v>
      </c>
    </row>
    <row r="1043" spans="1:15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O1043">
        <f t="shared" si="16"/>
        <v>1</v>
      </c>
    </row>
    <row r="1044" spans="1:15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O1044">
        <f t="shared" si="16"/>
        <v>1</v>
      </c>
    </row>
    <row r="1045" spans="1:15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O1045">
        <f t="shared" si="16"/>
        <v>1</v>
      </c>
    </row>
    <row r="1046" spans="1:15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O1046">
        <f t="shared" si="16"/>
        <v>1</v>
      </c>
    </row>
    <row r="1047" spans="1:15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O1047">
        <f t="shared" si="16"/>
        <v>1</v>
      </c>
    </row>
    <row r="1048" spans="1:15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O1048">
        <f t="shared" si="16"/>
        <v>1</v>
      </c>
    </row>
    <row r="1049" spans="1:15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O1049">
        <f t="shared" si="16"/>
        <v>1</v>
      </c>
    </row>
    <row r="1050" spans="1:15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O1050">
        <f t="shared" si="16"/>
        <v>1</v>
      </c>
    </row>
    <row r="1051" spans="1:15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O1051">
        <f t="shared" si="16"/>
        <v>1</v>
      </c>
    </row>
    <row r="1052" spans="1:15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O1052">
        <f t="shared" si="16"/>
        <v>1</v>
      </c>
    </row>
    <row r="1053" spans="1:15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O1053">
        <f t="shared" si="16"/>
        <v>1</v>
      </c>
    </row>
    <row r="1054" spans="1:15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O1054">
        <f t="shared" si="16"/>
        <v>1</v>
      </c>
    </row>
    <row r="1055" spans="1:15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O1055">
        <f t="shared" si="16"/>
        <v>1</v>
      </c>
    </row>
    <row r="1056" spans="1:15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O1056">
        <f t="shared" si="16"/>
        <v>1</v>
      </c>
    </row>
    <row r="1057" spans="1:15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O1057">
        <f t="shared" si="16"/>
        <v>1</v>
      </c>
    </row>
    <row r="1058" spans="1:15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O1058">
        <f t="shared" si="16"/>
        <v>1</v>
      </c>
    </row>
    <row r="1059" spans="1:15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O1059">
        <f t="shared" si="16"/>
        <v>1</v>
      </c>
    </row>
    <row r="1060" spans="1:15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O1060">
        <f t="shared" si="16"/>
        <v>1</v>
      </c>
    </row>
    <row r="1061" spans="1:15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O1061">
        <f t="shared" si="16"/>
        <v>1</v>
      </c>
    </row>
    <row r="1062" spans="1:15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O1062">
        <f t="shared" si="16"/>
        <v>1</v>
      </c>
    </row>
    <row r="1063" spans="1:15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O1063">
        <f t="shared" si="16"/>
        <v>1</v>
      </c>
    </row>
    <row r="1064" spans="1:15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O1064">
        <f t="shared" si="16"/>
        <v>1</v>
      </c>
    </row>
    <row r="1065" spans="1:15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O1065">
        <f t="shared" si="16"/>
        <v>1</v>
      </c>
    </row>
    <row r="1066" spans="1:15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O1066">
        <f t="shared" si="16"/>
        <v>1</v>
      </c>
    </row>
    <row r="1067" spans="1:15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O1067">
        <f t="shared" si="16"/>
        <v>1</v>
      </c>
    </row>
    <row r="1068" spans="1:15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O1068">
        <f t="shared" si="16"/>
        <v>1</v>
      </c>
    </row>
    <row r="1069" spans="1:15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O1069">
        <f t="shared" si="16"/>
        <v>1</v>
      </c>
    </row>
    <row r="1070" spans="1:15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O1070">
        <f t="shared" si="16"/>
        <v>1</v>
      </c>
    </row>
    <row r="1071" spans="1:15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O1071">
        <f t="shared" si="16"/>
        <v>1</v>
      </c>
    </row>
    <row r="1072" spans="1:15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O1072">
        <f t="shared" si="16"/>
        <v>1</v>
      </c>
    </row>
    <row r="1073" spans="1:15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O1073">
        <f t="shared" si="16"/>
        <v>1</v>
      </c>
    </row>
    <row r="1074" spans="1:15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O1074">
        <f t="shared" si="16"/>
        <v>1</v>
      </c>
    </row>
    <row r="1075" spans="1:15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O1075">
        <f t="shared" si="16"/>
        <v>1</v>
      </c>
    </row>
    <row r="1076" spans="1:15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O1076">
        <f t="shared" si="16"/>
        <v>1</v>
      </c>
    </row>
    <row r="1077" spans="1:15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O1077">
        <f t="shared" si="16"/>
        <v>1</v>
      </c>
    </row>
    <row r="1078" spans="1:15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O1078">
        <f t="shared" si="16"/>
        <v>1</v>
      </c>
    </row>
    <row r="1079" spans="1:15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O1079">
        <f t="shared" si="16"/>
        <v>1</v>
      </c>
    </row>
    <row r="1080" spans="1:15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O1080">
        <f t="shared" si="16"/>
        <v>1</v>
      </c>
    </row>
    <row r="1081" spans="1:15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O1081">
        <f t="shared" si="16"/>
        <v>1</v>
      </c>
    </row>
    <row r="1082" spans="1:15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O1082">
        <f t="shared" si="16"/>
        <v>1</v>
      </c>
    </row>
    <row r="1083" spans="1:15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O1083">
        <f t="shared" si="16"/>
        <v>1</v>
      </c>
    </row>
    <row r="1084" spans="1:15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O1084">
        <f t="shared" si="16"/>
        <v>1</v>
      </c>
    </row>
    <row r="1085" spans="1:15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O1085">
        <f t="shared" si="16"/>
        <v>1</v>
      </c>
    </row>
    <row r="1086" spans="1:15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O1086">
        <f t="shared" si="16"/>
        <v>1</v>
      </c>
    </row>
    <row r="1087" spans="1:15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O1087">
        <f t="shared" si="16"/>
        <v>1</v>
      </c>
    </row>
    <row r="1088" spans="1:15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O1088">
        <f t="shared" si="16"/>
        <v>1</v>
      </c>
    </row>
    <row r="1089" spans="1:15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O1089">
        <f t="shared" si="16"/>
        <v>1</v>
      </c>
    </row>
    <row r="1090" spans="1:15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O1090">
        <f t="shared" si="16"/>
        <v>1</v>
      </c>
    </row>
    <row r="1091" spans="1:15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O1091">
        <f t="shared" ref="O1091:O1154" si="17">COUNTIF($A:$A,A1091)</f>
        <v>1</v>
      </c>
    </row>
    <row r="1092" spans="1:15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O1092">
        <f t="shared" si="17"/>
        <v>1</v>
      </c>
    </row>
    <row r="1093" spans="1:15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  <c r="O1093">
        <f t="shared" si="17"/>
        <v>1</v>
      </c>
    </row>
    <row r="1094" spans="1:15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O1094">
        <f t="shared" si="17"/>
        <v>1</v>
      </c>
    </row>
    <row r="1095" spans="1:15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O1095">
        <f t="shared" si="17"/>
        <v>1</v>
      </c>
    </row>
    <row r="1096" spans="1:15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O1096">
        <f t="shared" si="17"/>
        <v>1</v>
      </c>
    </row>
    <row r="1097" spans="1:15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O1097">
        <f t="shared" si="17"/>
        <v>1</v>
      </c>
    </row>
    <row r="1098" spans="1:15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O1098">
        <f t="shared" si="17"/>
        <v>1</v>
      </c>
    </row>
    <row r="1099" spans="1:15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O1099">
        <f t="shared" si="17"/>
        <v>1</v>
      </c>
    </row>
    <row r="1100" spans="1:15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O1100">
        <f t="shared" si="17"/>
        <v>1</v>
      </c>
    </row>
    <row r="1101" spans="1:15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O1101">
        <f t="shared" si="17"/>
        <v>1</v>
      </c>
    </row>
    <row r="1102" spans="1:15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O1102">
        <f t="shared" si="17"/>
        <v>1</v>
      </c>
    </row>
    <row r="1103" spans="1:15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O1103">
        <f t="shared" si="17"/>
        <v>1</v>
      </c>
    </row>
    <row r="1104" spans="1:15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O1104">
        <f t="shared" si="17"/>
        <v>1</v>
      </c>
    </row>
    <row r="1105" spans="1:15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O1105">
        <f t="shared" si="17"/>
        <v>1</v>
      </c>
    </row>
    <row r="1106" spans="1:15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O1106">
        <f t="shared" si="17"/>
        <v>1</v>
      </c>
    </row>
    <row r="1107" spans="1:15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O1107">
        <f t="shared" si="17"/>
        <v>1</v>
      </c>
    </row>
    <row r="1108" spans="1:15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O1108">
        <f t="shared" si="17"/>
        <v>1</v>
      </c>
    </row>
    <row r="1109" spans="1:15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O1109">
        <f t="shared" si="17"/>
        <v>1</v>
      </c>
    </row>
    <row r="1110" spans="1:15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O1110">
        <f t="shared" si="17"/>
        <v>1</v>
      </c>
    </row>
    <row r="1111" spans="1:15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O1111">
        <f t="shared" si="17"/>
        <v>1</v>
      </c>
    </row>
    <row r="1112" spans="1:15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O1112">
        <f t="shared" si="17"/>
        <v>1</v>
      </c>
    </row>
    <row r="1113" spans="1:15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O1113">
        <f t="shared" si="17"/>
        <v>1</v>
      </c>
    </row>
    <row r="1114" spans="1:15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O1114">
        <f t="shared" si="17"/>
        <v>1</v>
      </c>
    </row>
    <row r="1115" spans="1:15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O1115">
        <f t="shared" si="17"/>
        <v>1</v>
      </c>
    </row>
    <row r="1116" spans="1:15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O1116">
        <f t="shared" si="17"/>
        <v>1</v>
      </c>
    </row>
    <row r="1117" spans="1:15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O1117">
        <f t="shared" si="17"/>
        <v>1</v>
      </c>
    </row>
    <row r="1118" spans="1:15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O1118">
        <f t="shared" si="17"/>
        <v>1</v>
      </c>
    </row>
    <row r="1119" spans="1:15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O1119">
        <f t="shared" si="17"/>
        <v>1</v>
      </c>
    </row>
    <row r="1120" spans="1:15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  <c r="O1120">
        <f t="shared" si="17"/>
        <v>1</v>
      </c>
    </row>
    <row r="1121" spans="1:15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O1121">
        <f t="shared" si="17"/>
        <v>1</v>
      </c>
    </row>
    <row r="1122" spans="1:15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O1122">
        <f t="shared" si="17"/>
        <v>1</v>
      </c>
    </row>
    <row r="1123" spans="1:15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O1123">
        <f t="shared" si="17"/>
        <v>1</v>
      </c>
    </row>
    <row r="1124" spans="1:15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O1124">
        <f t="shared" si="17"/>
        <v>1</v>
      </c>
    </row>
    <row r="1125" spans="1:15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O1125">
        <f t="shared" si="17"/>
        <v>1</v>
      </c>
    </row>
    <row r="1126" spans="1:15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O1126">
        <f t="shared" si="17"/>
        <v>1</v>
      </c>
    </row>
    <row r="1127" spans="1:15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O1127">
        <f t="shared" si="17"/>
        <v>1</v>
      </c>
    </row>
    <row r="1128" spans="1:15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O1128">
        <f t="shared" si="17"/>
        <v>1</v>
      </c>
    </row>
    <row r="1129" spans="1:15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O1129">
        <f t="shared" si="17"/>
        <v>1</v>
      </c>
    </row>
    <row r="1130" spans="1:15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O1130">
        <f t="shared" si="17"/>
        <v>1</v>
      </c>
    </row>
    <row r="1131" spans="1:15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O1131">
        <f t="shared" si="17"/>
        <v>1</v>
      </c>
    </row>
    <row r="1132" spans="1:15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O1132">
        <f t="shared" si="17"/>
        <v>1</v>
      </c>
    </row>
    <row r="1133" spans="1:15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O1133">
        <f t="shared" si="17"/>
        <v>1</v>
      </c>
    </row>
    <row r="1134" spans="1:15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O1134">
        <f t="shared" si="17"/>
        <v>1</v>
      </c>
    </row>
    <row r="1135" spans="1:15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O1135">
        <f t="shared" si="17"/>
        <v>1</v>
      </c>
    </row>
    <row r="1136" spans="1:15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O1136">
        <f t="shared" si="17"/>
        <v>1</v>
      </c>
    </row>
    <row r="1137" spans="1:15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O1137">
        <f t="shared" si="17"/>
        <v>1</v>
      </c>
    </row>
    <row r="1138" spans="1:15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O1138">
        <f t="shared" si="17"/>
        <v>1</v>
      </c>
    </row>
    <row r="1139" spans="1:15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O1139">
        <f t="shared" si="17"/>
        <v>1</v>
      </c>
    </row>
    <row r="1140" spans="1:15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O1140">
        <f t="shared" si="17"/>
        <v>1</v>
      </c>
    </row>
    <row r="1141" spans="1:15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O1141">
        <f t="shared" si="17"/>
        <v>1</v>
      </c>
    </row>
    <row r="1142" spans="1:15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O1142">
        <f t="shared" si="17"/>
        <v>1</v>
      </c>
    </row>
    <row r="1143" spans="1:15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O1143">
        <f t="shared" si="17"/>
        <v>1</v>
      </c>
    </row>
    <row r="1144" spans="1:15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O1144">
        <f t="shared" si="17"/>
        <v>1</v>
      </c>
    </row>
    <row r="1145" spans="1:15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O1145">
        <f t="shared" si="17"/>
        <v>1</v>
      </c>
    </row>
    <row r="1146" spans="1:15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O1146">
        <f t="shared" si="17"/>
        <v>1</v>
      </c>
    </row>
    <row r="1147" spans="1:15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O1147">
        <f t="shared" si="17"/>
        <v>1</v>
      </c>
    </row>
    <row r="1148" spans="1:15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O1148">
        <f t="shared" si="17"/>
        <v>1</v>
      </c>
    </row>
    <row r="1149" spans="1:15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O1149">
        <f t="shared" si="17"/>
        <v>1</v>
      </c>
    </row>
    <row r="1150" spans="1:15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O1150">
        <f t="shared" si="17"/>
        <v>1</v>
      </c>
    </row>
    <row r="1151" spans="1:15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O1151">
        <f t="shared" si="17"/>
        <v>1</v>
      </c>
    </row>
    <row r="1152" spans="1:15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O1152">
        <f t="shared" si="17"/>
        <v>1</v>
      </c>
    </row>
    <row r="1153" spans="1:15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O1153">
        <f t="shared" si="17"/>
        <v>1</v>
      </c>
    </row>
    <row r="1154" spans="1:15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O1154">
        <f t="shared" si="17"/>
        <v>1</v>
      </c>
    </row>
    <row r="1155" spans="1:15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O1155">
        <f t="shared" ref="O1155:O1201" si="18">COUNTIF($A:$A,A1155)</f>
        <v>1</v>
      </c>
    </row>
    <row r="1156" spans="1:15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O1156">
        <f t="shared" si="18"/>
        <v>1</v>
      </c>
    </row>
    <row r="1157" spans="1:15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O1157">
        <f t="shared" si="18"/>
        <v>1</v>
      </c>
    </row>
    <row r="1158" spans="1:15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O1158">
        <f t="shared" si="18"/>
        <v>1</v>
      </c>
    </row>
    <row r="1159" spans="1:15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O1159">
        <f t="shared" si="18"/>
        <v>1</v>
      </c>
    </row>
    <row r="1160" spans="1:15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O1160">
        <f t="shared" si="18"/>
        <v>1</v>
      </c>
    </row>
    <row r="1161" spans="1:15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O1161">
        <f t="shared" si="18"/>
        <v>1</v>
      </c>
    </row>
    <row r="1162" spans="1:15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O1162">
        <f t="shared" si="18"/>
        <v>1</v>
      </c>
    </row>
    <row r="1163" spans="1:15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O1163">
        <f t="shared" si="18"/>
        <v>1</v>
      </c>
    </row>
    <row r="1164" spans="1:15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O1164">
        <f t="shared" si="18"/>
        <v>1</v>
      </c>
    </row>
    <row r="1165" spans="1:15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O1165">
        <f t="shared" si="18"/>
        <v>1</v>
      </c>
    </row>
    <row r="1166" spans="1:15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O1166">
        <f t="shared" si="18"/>
        <v>1</v>
      </c>
    </row>
    <row r="1167" spans="1:15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O1167">
        <f t="shared" si="18"/>
        <v>1</v>
      </c>
    </row>
    <row r="1168" spans="1:15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O1168">
        <f t="shared" si="18"/>
        <v>1</v>
      </c>
    </row>
    <row r="1169" spans="1:15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O1169">
        <f t="shared" si="18"/>
        <v>1</v>
      </c>
    </row>
    <row r="1170" spans="1:15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O1170">
        <f t="shared" si="18"/>
        <v>1</v>
      </c>
    </row>
    <row r="1171" spans="1:15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O1171">
        <f t="shared" si="18"/>
        <v>1</v>
      </c>
    </row>
    <row r="1172" spans="1:15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O1172">
        <f t="shared" si="18"/>
        <v>1</v>
      </c>
    </row>
    <row r="1173" spans="1:15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O1173">
        <f t="shared" si="18"/>
        <v>1</v>
      </c>
    </row>
    <row r="1174" spans="1:15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O1174">
        <f t="shared" si="18"/>
        <v>1</v>
      </c>
    </row>
    <row r="1175" spans="1:15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O1175">
        <f t="shared" si="18"/>
        <v>1</v>
      </c>
    </row>
    <row r="1176" spans="1:15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O1176">
        <f t="shared" si="18"/>
        <v>1</v>
      </c>
    </row>
    <row r="1177" spans="1:15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O1177">
        <f t="shared" si="18"/>
        <v>1</v>
      </c>
    </row>
    <row r="1178" spans="1:15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O1178">
        <f t="shared" si="18"/>
        <v>1</v>
      </c>
    </row>
    <row r="1179" spans="1:15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O1179">
        <f t="shared" si="18"/>
        <v>1</v>
      </c>
    </row>
    <row r="1180" spans="1:15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O1180">
        <f t="shared" si="18"/>
        <v>1</v>
      </c>
    </row>
    <row r="1181" spans="1:15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O1181">
        <f t="shared" si="18"/>
        <v>1</v>
      </c>
    </row>
    <row r="1182" spans="1:15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O1182">
        <f t="shared" si="18"/>
        <v>1</v>
      </c>
    </row>
    <row r="1183" spans="1:15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O1183">
        <f t="shared" si="18"/>
        <v>1</v>
      </c>
    </row>
    <row r="1184" spans="1:15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O1184">
        <f t="shared" si="18"/>
        <v>1</v>
      </c>
    </row>
    <row r="1185" spans="1:15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O1185">
        <f t="shared" si="18"/>
        <v>1</v>
      </c>
    </row>
    <row r="1186" spans="1:15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O1186">
        <f t="shared" si="18"/>
        <v>1</v>
      </c>
    </row>
    <row r="1187" spans="1:15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O1187">
        <f t="shared" si="18"/>
        <v>1</v>
      </c>
    </row>
    <row r="1188" spans="1:15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O1188">
        <f t="shared" si="18"/>
        <v>1</v>
      </c>
    </row>
    <row r="1189" spans="1:15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O1189">
        <f t="shared" si="18"/>
        <v>1</v>
      </c>
    </row>
    <row r="1190" spans="1:15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O1190">
        <f t="shared" si="18"/>
        <v>1</v>
      </c>
    </row>
    <row r="1191" spans="1:15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O1191">
        <f t="shared" si="18"/>
        <v>1</v>
      </c>
    </row>
    <row r="1192" spans="1:15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O1192">
        <f t="shared" si="18"/>
        <v>1</v>
      </c>
    </row>
    <row r="1193" spans="1:15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O1193">
        <f t="shared" si="18"/>
        <v>1</v>
      </c>
    </row>
    <row r="1194" spans="1:15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O1194">
        <f t="shared" si="18"/>
        <v>1</v>
      </c>
    </row>
    <row r="1195" spans="1:15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O1195">
        <f t="shared" si="18"/>
        <v>1</v>
      </c>
    </row>
    <row r="1196" spans="1:15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O1196">
        <f t="shared" si="18"/>
        <v>1</v>
      </c>
    </row>
    <row r="1197" spans="1:15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O1197">
        <f t="shared" si="18"/>
        <v>1</v>
      </c>
    </row>
    <row r="1198" spans="1:15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O1198">
        <f t="shared" si="18"/>
        <v>1</v>
      </c>
    </row>
    <row r="1199" spans="1:15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O1199">
        <f t="shared" si="18"/>
        <v>1</v>
      </c>
    </row>
    <row r="1200" spans="1:15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O1200">
        <f t="shared" si="18"/>
        <v>1</v>
      </c>
    </row>
    <row r="1201" spans="1:15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O1201">
        <f t="shared" si="18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DFF2-29A8-4484-A3C8-5CE5FA44B03C}">
  <dimension ref="A1:B7"/>
  <sheetViews>
    <sheetView workbookViewId="0">
      <selection activeCell="A10" sqref="A10"/>
    </sheetView>
  </sheetViews>
  <sheetFormatPr defaultRowHeight="14.4" x14ac:dyDescent="0.3"/>
  <cols>
    <col min="1" max="1" width="19.33203125" customWidth="1"/>
    <col min="2" max="2" width="24.77734375" customWidth="1"/>
  </cols>
  <sheetData>
    <row r="1" spans="1:2" x14ac:dyDescent="0.3">
      <c r="A1" s="4" t="s">
        <v>4292</v>
      </c>
      <c r="B1" s="4" t="s">
        <v>4293</v>
      </c>
    </row>
    <row r="2" spans="1:2" x14ac:dyDescent="0.3">
      <c r="A2" s="5" t="s">
        <v>4294</v>
      </c>
      <c r="B2" s="7">
        <f>COUNT(Cleaned_Dataset!N2:N1201)</f>
        <v>1200</v>
      </c>
    </row>
    <row r="3" spans="1:2" x14ac:dyDescent="0.3">
      <c r="A3" s="5" t="s">
        <v>4295</v>
      </c>
      <c r="B3" s="7">
        <f>SUM(Cleaned_Dataset!N2:N1201)</f>
        <v>1264761.9600000004</v>
      </c>
    </row>
    <row r="4" spans="1:2" ht="28.8" x14ac:dyDescent="0.3">
      <c r="A4" s="5" t="s">
        <v>4296</v>
      </c>
      <c r="B4" s="7">
        <f>AVERAGE(Cleaned_Dataset!N2:N1201)</f>
        <v>1053.9683000000005</v>
      </c>
    </row>
    <row r="5" spans="1:2" ht="28.8" x14ac:dyDescent="0.3">
      <c r="A5" s="5" t="s">
        <v>4297</v>
      </c>
      <c r="B5" s="5">
        <f>MAX(Cleaned_Dataset!N2:N1201)</f>
        <v>3456.4</v>
      </c>
    </row>
    <row r="6" spans="1:2" ht="28.8" x14ac:dyDescent="0.3">
      <c r="A6" s="5" t="s">
        <v>4298</v>
      </c>
      <c r="B6" s="6">
        <f>MIN(Cleaned_Dataset!N2:N1201)</f>
        <v>11.39</v>
      </c>
    </row>
    <row r="7" spans="1:2" ht="28.8" x14ac:dyDescent="0.3">
      <c r="A7" s="5" t="s">
        <v>4299</v>
      </c>
      <c r="B7" s="6">
        <f>MEDIAN(Cleaned_Dataset!N2:N1201)</f>
        <v>823.61500000000001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6FCD-51C8-41B8-95B3-3F2FEC625B0F}">
  <dimension ref="A1:J18"/>
  <sheetViews>
    <sheetView workbookViewId="0">
      <selection activeCell="J7" sqref="J7"/>
    </sheetView>
  </sheetViews>
  <sheetFormatPr defaultRowHeight="14.4" x14ac:dyDescent="0.3"/>
  <cols>
    <col min="1" max="1" width="14.33203125" style="8" bestFit="1" customWidth="1"/>
    <col min="2" max="2" width="16.5546875" style="8" customWidth="1"/>
    <col min="4" max="4" width="9.5546875" customWidth="1"/>
    <col min="5" max="5" width="22.88671875" customWidth="1"/>
    <col min="6" max="6" width="22.44140625" customWidth="1"/>
    <col min="7" max="7" width="9.21875" customWidth="1"/>
    <col min="8" max="8" width="10.88671875" customWidth="1"/>
    <col min="9" max="9" width="24" customWidth="1"/>
    <col min="10" max="10" width="22.21875" customWidth="1"/>
    <col min="11" max="11" width="19.109375" customWidth="1"/>
  </cols>
  <sheetData>
    <row r="1" spans="1:10" ht="15.6" x14ac:dyDescent="0.3">
      <c r="G1" s="11"/>
    </row>
    <row r="3" spans="1:10" x14ac:dyDescent="0.3">
      <c r="A3" s="9" t="s">
        <v>3</v>
      </c>
      <c r="B3" s="9" t="s">
        <v>4300</v>
      </c>
      <c r="E3" s="9" t="s">
        <v>4301</v>
      </c>
      <c r="F3" s="9" t="s">
        <v>4300</v>
      </c>
      <c r="I3" s="9" t="s">
        <v>4287</v>
      </c>
      <c r="J3" s="9" t="s">
        <v>4300</v>
      </c>
    </row>
    <row r="4" spans="1:10" x14ac:dyDescent="0.3">
      <c r="A4" s="8" t="s">
        <v>2407</v>
      </c>
      <c r="B4" s="8">
        <f>COUNTIF(Cleaned_Dataset!D2:D1201,"Printer")</f>
        <v>181</v>
      </c>
      <c r="E4" s="10" t="s">
        <v>3066</v>
      </c>
      <c r="F4" s="8">
        <f>COUNTIF(Cleaned_Dataset!H2:H1201,"Online")</f>
        <v>258</v>
      </c>
      <c r="I4" s="8" t="s">
        <v>3073</v>
      </c>
      <c r="J4" s="8">
        <f>COUNTIF(Cleaned_Dataset!I1:I1201,"Delivered")</f>
        <v>231</v>
      </c>
    </row>
    <row r="5" spans="1:10" x14ac:dyDescent="0.3">
      <c r="A5" s="8" t="s">
        <v>2408</v>
      </c>
      <c r="B5" s="8">
        <f>COUNTIF(Cleaned_Dataset!D2:D1201,"Laptop")</f>
        <v>173</v>
      </c>
      <c r="E5" s="10" t="s">
        <v>3069</v>
      </c>
      <c r="F5" s="8">
        <f>COUNTIF(Cleaned_Dataset!H2:H1201,"Cash")</f>
        <v>246</v>
      </c>
      <c r="I5" s="8" t="s">
        <v>3070</v>
      </c>
      <c r="J5" s="8">
        <f>COUNTIF(Cleaned_Dataset!I2:I1201,"Shipped")</f>
        <v>235</v>
      </c>
    </row>
    <row r="6" spans="1:10" x14ac:dyDescent="0.3">
      <c r="A6" s="8" t="s">
        <v>2404</v>
      </c>
      <c r="B6" s="8">
        <f>COUNTIF(Cleaned_Dataset!D2:D1201,"Phone")</f>
        <v>156</v>
      </c>
      <c r="E6" s="10" t="s">
        <v>3067</v>
      </c>
      <c r="F6" s="8">
        <f>COUNTIF(Cleaned_Dataset!H2:H1201,"Credit Card")</f>
        <v>234</v>
      </c>
      <c r="I6" s="8" t="s">
        <v>3074</v>
      </c>
      <c r="J6" s="8">
        <f>COUNTIF(Cleaned_Dataset!I2:I1201,"Pending")</f>
        <v>237</v>
      </c>
    </row>
    <row r="7" spans="1:10" x14ac:dyDescent="0.3">
      <c r="A7" s="8" t="s">
        <v>2405</v>
      </c>
      <c r="B7" s="8">
        <f>COUNTIF(Cleaned_Dataset!D2:D1201,"Tablet")</f>
        <v>179</v>
      </c>
      <c r="E7" s="10" t="s">
        <v>3065</v>
      </c>
      <c r="F7" s="8">
        <f>COUNTIF(Cleaned_Dataset!H2:H1201,"Debit Card")</f>
        <v>232</v>
      </c>
      <c r="I7" s="8" t="s">
        <v>3071</v>
      </c>
      <c r="J7" s="8">
        <f>COUNTIF(Cleaned_Dataset!I2:I1201,"Cancelled")</f>
        <v>250</v>
      </c>
    </row>
    <row r="8" spans="1:10" x14ac:dyDescent="0.3">
      <c r="A8" s="8" t="s">
        <v>2406</v>
      </c>
      <c r="B8" s="8">
        <f>COUNTIF(Cleaned_Dataset!D2:D1201,"Chair")</f>
        <v>178</v>
      </c>
      <c r="E8" s="10" t="s">
        <v>3068</v>
      </c>
      <c r="F8" s="8">
        <f>COUNTIF(Cleaned_Dataset!H2:H1201,"Gift Card")</f>
        <v>230</v>
      </c>
    </row>
    <row r="9" spans="1:10" x14ac:dyDescent="0.3">
      <c r="A9" s="8" t="s">
        <v>2409</v>
      </c>
      <c r="B9" s="8">
        <f>COUNTIF(Cleaned_Dataset!D2:D1201,"Desk")</f>
        <v>170</v>
      </c>
    </row>
    <row r="10" spans="1:10" x14ac:dyDescent="0.3">
      <c r="A10" s="8" t="s">
        <v>2403</v>
      </c>
      <c r="B10" s="8">
        <f>COUNTIF(Cleaned_Dataset!D2:D1201,"Monitor")</f>
        <v>163</v>
      </c>
    </row>
    <row r="14" spans="1:10" x14ac:dyDescent="0.3">
      <c r="A14" s="9" t="s">
        <v>4302</v>
      </c>
      <c r="B14" s="9" t="s">
        <v>4300</v>
      </c>
      <c r="E14" s="9" t="s">
        <v>4303</v>
      </c>
      <c r="F14" s="9" t="s">
        <v>4300</v>
      </c>
    </row>
    <row r="15" spans="1:10" x14ac:dyDescent="0.3">
      <c r="A15" s="8" t="s">
        <v>4278</v>
      </c>
      <c r="B15" s="8">
        <f>COUNTIF(Cleaned_Dataset!M2:M1201,"Instagram")</f>
        <v>259</v>
      </c>
      <c r="E15" s="8" t="s">
        <v>4275</v>
      </c>
    </row>
    <row r="16" spans="1:10" x14ac:dyDescent="0.3">
      <c r="A16" s="8" t="s">
        <v>4282</v>
      </c>
      <c r="B16" s="8">
        <f>COUNTIF(Cleaned_Dataset!M2:M1201,"Google")</f>
        <v>241</v>
      </c>
      <c r="E16" s="8" t="s">
        <v>4277</v>
      </c>
      <c r="F16">
        <f>COUNTIF(Cleaned_Dataset!L2:L1201,"WINTER15")</f>
        <v>292</v>
      </c>
    </row>
    <row r="17" spans="1:6" x14ac:dyDescent="0.3">
      <c r="A17" s="8" t="s">
        <v>4280</v>
      </c>
      <c r="B17" s="8">
        <f>COUNTIF(Cleaned_Dataset!M2:M1201,"Email")</f>
        <v>250</v>
      </c>
      <c r="E17" s="8" t="s">
        <v>4276</v>
      </c>
      <c r="F17">
        <f>COUNTIF(Cleaned_Dataset!L2:L1201,"FREESHIP")</f>
        <v>313</v>
      </c>
    </row>
    <row r="18" spans="1:6" x14ac:dyDescent="0.3">
      <c r="A18" s="8" t="s">
        <v>4279</v>
      </c>
      <c r="B18" s="8">
        <f>COUNTIF(Cleaned_Dataset!M2:M1201,"Referral")</f>
        <v>222</v>
      </c>
      <c r="E18" s="8" t="s">
        <v>4283</v>
      </c>
      <c r="F18">
        <f>COUNTIF(Cleaned_Dataset!L2:L1201,"No Coupon")</f>
        <v>309</v>
      </c>
    </row>
  </sheetData>
  <phoneticPr fontId="2" type="noConversion"/>
  <pageMargins left="0.7" right="0.7" top="0.75" bottom="0.75" header="0.3" footer="0.3"/>
  <pageSetup paperSize="9"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5232-12C9-4489-A507-88C163CE964A}">
  <dimension ref="A1"/>
  <sheetViews>
    <sheetView tabSelected="1" workbookViewId="0">
      <selection activeCell="P16" sqref="P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9B3B-6B89-48AC-A8D3-F3270089CE4E}">
  <dimension ref="A1:C8"/>
  <sheetViews>
    <sheetView workbookViewId="0">
      <selection activeCell="B11" sqref="B11"/>
    </sheetView>
  </sheetViews>
  <sheetFormatPr defaultRowHeight="14.4" x14ac:dyDescent="0.3"/>
  <cols>
    <col min="1" max="1" width="19.21875" customWidth="1"/>
    <col min="2" max="2" width="36.5546875" customWidth="1"/>
    <col min="3" max="3" width="13.88671875" customWidth="1"/>
    <col min="5" max="5" width="15.33203125" customWidth="1"/>
    <col min="6" max="6" width="8.88671875" customWidth="1"/>
  </cols>
  <sheetData>
    <row r="1" spans="1:3" x14ac:dyDescent="0.3">
      <c r="A1" s="4" t="s">
        <v>4285</v>
      </c>
      <c r="B1" s="4" t="s">
        <v>4286</v>
      </c>
      <c r="C1" s="4" t="s">
        <v>4287</v>
      </c>
    </row>
    <row r="2" spans="1:3" x14ac:dyDescent="0.3">
      <c r="A2" s="5" t="s">
        <v>4288</v>
      </c>
      <c r="B2" s="5" t="s">
        <v>4304</v>
      </c>
      <c r="C2" s="5" t="s">
        <v>4289</v>
      </c>
    </row>
    <row r="3" spans="1:3" x14ac:dyDescent="0.3">
      <c r="A3" s="5" t="s">
        <v>4290</v>
      </c>
      <c r="B3" s="5" t="s">
        <v>4305</v>
      </c>
      <c r="C3" s="5" t="s">
        <v>4289</v>
      </c>
    </row>
    <row r="4" spans="1:3" ht="28.8" customHeight="1" x14ac:dyDescent="0.3">
      <c r="A4" s="5" t="s">
        <v>4291</v>
      </c>
      <c r="B4" s="5" t="s">
        <v>4306</v>
      </c>
      <c r="C4" s="5" t="s">
        <v>4289</v>
      </c>
    </row>
    <row r="5" spans="1:3" x14ac:dyDescent="0.3">
      <c r="A5" s="5" t="s">
        <v>4307</v>
      </c>
      <c r="B5" s="5" t="s">
        <v>4308</v>
      </c>
      <c r="C5" s="5" t="s">
        <v>4289</v>
      </c>
    </row>
    <row r="6" spans="1:3" x14ac:dyDescent="0.3">
      <c r="A6" s="5" t="s">
        <v>4309</v>
      </c>
      <c r="B6" s="5" t="s">
        <v>4310</v>
      </c>
      <c r="C6" s="5" t="s">
        <v>4289</v>
      </c>
    </row>
    <row r="7" spans="1:3" x14ac:dyDescent="0.3">
      <c r="A7" s="5" t="s">
        <v>4311</v>
      </c>
      <c r="B7" s="5" t="s">
        <v>4312</v>
      </c>
      <c r="C7" s="5" t="s">
        <v>4289</v>
      </c>
    </row>
    <row r="8" spans="1:3" x14ac:dyDescent="0.3">
      <c r="A8" s="5" t="s">
        <v>4313</v>
      </c>
      <c r="B8" s="5" t="s">
        <v>4314</v>
      </c>
      <c r="C8" s="5" t="s">
        <v>4289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Cleaned_Dataset</vt:lpstr>
      <vt:lpstr>Summary Statistics</vt:lpstr>
      <vt:lpstr>Manual Analysis</vt:lpstr>
      <vt:lpstr>EDA Observations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</dc:creator>
  <cp:lastModifiedBy>Sarath Kumar U</cp:lastModifiedBy>
  <cp:lastPrinted>2026-05-31T10:22:15Z</cp:lastPrinted>
  <dcterms:created xsi:type="dcterms:W3CDTF">2025-06-21T13:19:12Z</dcterms:created>
  <dcterms:modified xsi:type="dcterms:W3CDTF">2026-05-31T15:42:22Z</dcterms:modified>
</cp:coreProperties>
</file>